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rearms" sheetId="2" state="visible" r:id="rId2"/>
    <sheet xmlns:r="http://schemas.openxmlformats.org/officeDocument/2006/relationships" name="Outdoor power" sheetId="3" state="visible" r:id="rId3"/>
    <sheet xmlns:r="http://schemas.openxmlformats.org/officeDocument/2006/relationships" name="Tools" sheetId="4" state="visible" r:id="rId4"/>
    <sheet xmlns:r="http://schemas.openxmlformats.org/officeDocument/2006/relationships" name="Hunting &amp; fishing" sheetId="5" state="visible" r:id="rId5"/>
    <sheet xmlns:r="http://schemas.openxmlformats.org/officeDocument/2006/relationships" name="Electronics" sheetId="6" state="visible" r:id="rId6"/>
    <sheet xmlns:r="http://schemas.openxmlformats.org/officeDocument/2006/relationships" name="Appliances" sheetId="7" state="visible" r:id="rId7"/>
    <sheet xmlns:r="http://schemas.openxmlformats.org/officeDocument/2006/relationships" name="Instruments" sheetId="8" state="visible" r:id="rId8"/>
    <sheet xmlns:r="http://schemas.openxmlformats.org/officeDocument/2006/relationships" name="Jewelry &amp; watches" sheetId="9" state="visible" r:id="rId9"/>
    <sheet xmlns:r="http://schemas.openxmlformats.org/officeDocument/2006/relationships" name="Fitness &amp; sporting" sheetId="10" state="visible" r:id="rId10"/>
    <sheet xmlns:r="http://schemas.openxmlformats.org/officeDocument/2006/relationships" name="Cards &amp; collectibles" sheetId="11" state="visible" r:id="rId11"/>
    <sheet xmlns:r="http://schemas.openxmlformats.org/officeDocument/2006/relationships" name="Trailers &amp; ATVs" sheetId="12" state="visible" r:id="rId12"/>
    <sheet xmlns:r="http://schemas.openxmlformats.org/officeDocument/2006/relationships" name="Mode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6"/>
    </font>
  </fonts>
  <fills count="5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FFF6D6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0" fontId="4" fillId="3" borderId="1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74" customWidth="1" min="4" max="4"/>
  </cols>
  <sheetData>
    <row r="2">
      <c r="B2" s="1" t="inlineStr">
        <is>
          <t>The Pawn Desk — master price sheet</t>
        </is>
      </c>
    </row>
    <row r="5" ht="30" customHeight="1">
      <c r="B5" s="2" t="inlineStr">
        <is>
          <t>What this is</t>
        </is>
      </c>
      <c r="D5" s="3" t="inlineStr">
        <is>
          <t>Every number The Pawn Desk uses to price something: 72 everyday items, 176 price-book rows and 179 specific models, on one sheet per kind of thing.</t>
        </is>
      </c>
    </row>
    <row r="6" ht="30" customHeight="1">
      <c r="B6" s="2" t="inlineStr">
        <is>
          <t>What to change</t>
        </is>
      </c>
      <c r="D6" s="3" t="inlineStr">
        <is>
          <t>Only the yellow columns. YOUR VALUE is what you think it really resells for in Bristol. Leave it blank on every row you are happy with — blank means keep.</t>
        </is>
      </c>
    </row>
    <row r="7" ht="30" customHeight="1">
      <c r="B7" s="2" t="inlineStr">
        <is>
          <t>What not to change</t>
        </is>
      </c>
      <c r="D7" s="3" t="inlineStr">
        <is>
          <t>Kind, Key, Item, Resale now, Difference. Key is how the tool finds the row again; change it and the row will not match.</t>
        </is>
      </c>
    </row>
    <row r="8" ht="30" customHeight="1">
      <c r="B8" s="2" t="inlineStr">
        <is>
          <t>Resale, not loan</t>
        </is>
      </c>
      <c r="D8" s="3" t="inlineStr">
        <is>
          <t>Every figure is what the thing SELLS for used, not what to lend. The tool works the loan out from that, by category.</t>
        </is>
      </c>
    </row>
    <row r="9" ht="30" customHeight="1">
      <c r="B9" s="2" t="inlineStr">
        <is>
          <t>The Market column</t>
        </is>
      </c>
      <c r="D9" s="3" t="inlineStr">
        <is>
          <t>'ships' means an online search can find real sold prices. 'local only' (pink) means it cannot — fridges, trailers, big compressors sell on Marketplace and in the paper. On those rows your own judgement beats any search.</t>
        </is>
      </c>
    </row>
    <row r="10" ht="30" customHeight="1">
      <c r="B10" s="2" t="inlineStr">
        <is>
          <t>Models sheet</t>
        </is>
      </c>
      <c r="D10" s="3" t="inlineStr">
        <is>
          <t>Specific makes and models, with a low and a high. That is the middle half of real sales: a quarter go lower, a quarter go higher.</t>
        </is>
      </c>
    </row>
    <row r="11" ht="30" customHeight="1">
      <c r="B11" s="2" t="inlineStr">
        <is>
          <t>Uploading it back</t>
        </is>
      </c>
      <c r="D11" s="3" t="inlineStr">
        <is>
          <t>Save the sheet you changed as CSV (File, Download, CSV), then open The Pawn Desk, go to Setup, and use Upload a price sheet. Only rows with something in YOUR VALUE are touched.</t>
        </is>
      </c>
    </row>
    <row r="13">
      <c r="B13" s="2" t="inlineStr">
        <is>
          <t>An example row</t>
        </is>
      </c>
    </row>
    <row r="14">
      <c r="B14" s="4" t="inlineStr">
        <is>
          <t>Kind</t>
        </is>
      </c>
      <c r="C14" s="4" t="inlineStr">
        <is>
          <t>Key</t>
        </is>
      </c>
      <c r="D14" s="4" t="inlineStr">
        <is>
          <t>Item</t>
        </is>
      </c>
      <c r="E14" s="4" t="inlineStr">
        <is>
          <t>Resale now $</t>
        </is>
      </c>
      <c r="F14" s="4" t="inlineStr">
        <is>
          <t>YOUR VALUE $</t>
        </is>
      </c>
      <c r="G14" s="4" t="inlineStr">
        <is>
          <t>Difference</t>
        </is>
      </c>
      <c r="H14" s="4" t="inlineStr">
        <is>
          <t>Sells</t>
        </is>
      </c>
      <c r="I14" s="4" t="inlineStr">
        <is>
          <t>Market</t>
        </is>
      </c>
      <c r="J14" s="4" t="inlineStr">
        <is>
          <t>YOUR NOTES</t>
        </is>
      </c>
    </row>
    <row r="15">
      <c r="B15" s="5" t="inlineStr">
        <is>
          <t>List item</t>
        </is>
      </c>
      <c r="C15" s="5" t="inlineStr">
        <is>
          <t>t1</t>
        </is>
      </c>
      <c r="D15" s="5" t="inlineStr">
        <is>
          <t>Cordless drill / driver kit</t>
        </is>
      </c>
      <c r="E15" s="6" t="n">
        <v>110</v>
      </c>
      <c r="F15" s="7" t="n">
        <v>95</v>
      </c>
      <c r="G15" s="6">
        <f>IF(F15="","",F15-E15)</f>
        <v/>
      </c>
      <c r="H15" s="5" t="inlineStr">
        <is>
          <t>fast</t>
        </is>
      </c>
      <c r="I15" s="5" t="inlineStr">
        <is>
          <t>ships</t>
        </is>
      </c>
      <c r="J15" s="8" t="inlineStr">
        <is>
          <t>seen three go at $90 here</t>
        </is>
      </c>
    </row>
    <row r="17">
      <c r="B17" s="9" t="inlineStr">
        <is>
          <t>That row says: the tool thinks $110, you have seen them go for $95, so $95 wins.</t>
        </is>
      </c>
    </row>
    <row r="20">
      <c r="B20" s="2" t="inlineStr">
        <is>
          <t>What is on each sheet</t>
        </is>
      </c>
    </row>
    <row r="21">
      <c r="B21" s="10" t="inlineStr">
        <is>
          <t>Sheet</t>
        </is>
      </c>
      <c r="C21" s="10" t="inlineStr">
        <is>
          <t>Rows</t>
        </is>
      </c>
    </row>
    <row r="22">
      <c r="B22" s="11" t="inlineStr">
        <is>
          <t>Firearms</t>
        </is>
      </c>
      <c r="C22" s="11" t="n">
        <v>20</v>
      </c>
    </row>
    <row r="23">
      <c r="B23" s="11" t="inlineStr">
        <is>
          <t>Outdoor power</t>
        </is>
      </c>
      <c r="C23" s="11" t="n">
        <v>23</v>
      </c>
    </row>
    <row r="24">
      <c r="B24" s="11" t="inlineStr">
        <is>
          <t>Tools</t>
        </is>
      </c>
      <c r="C24" s="11" t="n">
        <v>46</v>
      </c>
    </row>
    <row r="25">
      <c r="B25" s="11" t="inlineStr">
        <is>
          <t>Hunting &amp; fishing</t>
        </is>
      </c>
      <c r="C25" s="11" t="n">
        <v>35</v>
      </c>
    </row>
    <row r="26">
      <c r="B26" s="11" t="inlineStr">
        <is>
          <t>Electronics</t>
        </is>
      </c>
      <c r="C26" s="11" t="n">
        <v>33</v>
      </c>
    </row>
    <row r="27">
      <c r="B27" s="11" t="inlineStr">
        <is>
          <t>Appliances</t>
        </is>
      </c>
      <c r="C27" s="11" t="n">
        <v>31</v>
      </c>
    </row>
    <row r="28">
      <c r="B28" s="11" t="inlineStr">
        <is>
          <t>Instruments</t>
        </is>
      </c>
      <c r="C28" s="11" t="n">
        <v>22</v>
      </c>
    </row>
    <row r="29">
      <c r="B29" s="11" t="inlineStr">
        <is>
          <t>Jewelry &amp; watches</t>
        </is>
      </c>
      <c r="C29" s="11" t="n">
        <v>5</v>
      </c>
    </row>
    <row r="30">
      <c r="B30" s="11" t="inlineStr">
        <is>
          <t>Fitness &amp; sporting</t>
        </is>
      </c>
      <c r="C30" s="11" t="n">
        <v>11</v>
      </c>
    </row>
    <row r="31">
      <c r="B31" s="11" t="inlineStr">
        <is>
          <t>Cards &amp; collectibles</t>
        </is>
      </c>
      <c r="C31" s="11" t="n">
        <v>5</v>
      </c>
    </row>
    <row r="32">
      <c r="B32" s="11" t="inlineStr">
        <is>
          <t>Trailers &amp; ATVs</t>
        </is>
      </c>
      <c r="C32" s="11" t="n">
        <v>17</v>
      </c>
    </row>
    <row r="33">
      <c r="B33" s="11" t="inlineStr">
        <is>
          <t>Models</t>
        </is>
      </c>
      <c r="C33" s="11" t="n">
        <v>179</v>
      </c>
    </row>
    <row r="34">
      <c r="B34" s="2" t="inlineStr">
        <is>
          <t>Everything</t>
        </is>
      </c>
      <c r="C34" s="2" t="n">
        <v>427</v>
      </c>
    </row>
    <row r="36">
      <c r="B36" s="9" t="inlineStr">
        <is>
          <t>Counts as at the day this sheet was built.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Firearms</t>
        </is>
      </c>
      <c r="D1" s="9" t="inlineStr">
        <is>
          <t>suggested loan: 50%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g1</t>
        </is>
      </c>
      <c r="C3" s="5" t="inlineStr">
        <is>
          <t>Pump shotgun</t>
        </is>
      </c>
      <c r="D3" s="6" t="n">
        <v>200</v>
      </c>
      <c r="E3" s="7" t="n"/>
      <c r="F3" s="6">
        <f>IF(E3="","",E3-D3)</f>
        <v/>
      </c>
      <c r="G3" s="5" t="inlineStr">
        <is>
          <t>fast</t>
        </is>
      </c>
      <c r="H3" s="5" t="inlineStr">
        <is>
          <t>GunBroker</t>
        </is>
      </c>
      <c r="I3" s="8" t="n"/>
    </row>
    <row r="4">
      <c r="A4" s="14" t="inlineStr">
        <is>
          <t>List item</t>
        </is>
      </c>
      <c r="B4" s="5" t="inlineStr">
        <is>
          <t>g2</t>
        </is>
      </c>
      <c r="C4" s="5" t="inlineStr">
        <is>
          <t>Semi-auto shotgun</t>
        </is>
      </c>
      <c r="D4" s="6" t="n">
        <v>400</v>
      </c>
      <c r="E4" s="7" t="n"/>
      <c r="F4" s="6">
        <f>IF(E4="","",E4-D4)</f>
        <v/>
      </c>
      <c r="G4" s="5" t="inlineStr">
        <is>
          <t>fast</t>
        </is>
      </c>
      <c r="H4" s="5" t="inlineStr">
        <is>
          <t>GunBroker</t>
        </is>
      </c>
      <c r="I4" s="8" t="n"/>
    </row>
    <row r="5">
      <c r="A5" s="14" t="inlineStr">
        <is>
          <t>List item</t>
        </is>
      </c>
      <c r="B5" s="5" t="inlineStr">
        <is>
          <t>g3</t>
        </is>
      </c>
      <c r="C5" s="5" t="inlineStr">
        <is>
          <t>Bolt-action rifle</t>
        </is>
      </c>
      <c r="D5" s="6" t="n">
        <v>275</v>
      </c>
      <c r="E5" s="7" t="n"/>
      <c r="F5" s="6">
        <f>IF(E5="","",E5-D5)</f>
        <v/>
      </c>
      <c r="G5" s="5" t="inlineStr">
        <is>
          <t>fast</t>
        </is>
      </c>
      <c r="H5" s="5" t="inlineStr">
        <is>
          <t>GunBroker</t>
        </is>
      </c>
      <c r="I5" s="8" t="n"/>
    </row>
    <row r="6">
      <c r="A6" s="14" t="inlineStr">
        <is>
          <t>List item</t>
        </is>
      </c>
      <c r="B6" s="5" t="inlineStr">
        <is>
          <t>g4</t>
        </is>
      </c>
      <c r="C6" s="5" t="inlineStr">
        <is>
          <t>Lever-action rifle</t>
        </is>
      </c>
      <c r="D6" s="6" t="n">
        <v>450</v>
      </c>
      <c r="E6" s="7" t="n"/>
      <c r="F6" s="6">
        <f>IF(E6="","",E6-D6)</f>
        <v/>
      </c>
      <c r="G6" s="5" t="inlineStr">
        <is>
          <t>fast</t>
        </is>
      </c>
      <c r="H6" s="5" t="inlineStr">
        <is>
          <t>GunBroker</t>
        </is>
      </c>
      <c r="I6" s="8" t="n"/>
    </row>
    <row r="7">
      <c r="A7" s="14" t="inlineStr">
        <is>
          <t>List item</t>
        </is>
      </c>
      <c r="B7" s="5" t="inlineStr">
        <is>
          <t>g5</t>
        </is>
      </c>
      <c r="C7" s="5" t="inlineStr">
        <is>
          <t>AR-15 / modern sporting rifle</t>
        </is>
      </c>
      <c r="D7" s="6" t="n">
        <v>650</v>
      </c>
      <c r="E7" s="7" t="n"/>
      <c r="F7" s="6">
        <f>IF(E7="","",E7-D7)</f>
        <v/>
      </c>
      <c r="G7" s="5" t="inlineStr">
        <is>
          <t>normal</t>
        </is>
      </c>
      <c r="H7" s="5" t="inlineStr">
        <is>
          <t>GunBroker</t>
        </is>
      </c>
      <c r="I7" s="8" t="n"/>
    </row>
    <row r="8">
      <c r="A8" s="14" t="inlineStr">
        <is>
          <t>List item</t>
        </is>
      </c>
      <c r="B8" s="5" t="inlineStr">
        <is>
          <t>g6</t>
        </is>
      </c>
      <c r="C8" s="5" t="inlineStr">
        <is>
          <t>.22 rifle</t>
        </is>
      </c>
      <c r="D8" s="6" t="n">
        <v>175</v>
      </c>
      <c r="E8" s="7" t="n"/>
      <c r="F8" s="6">
        <f>IF(E8="","",E8-D8)</f>
        <v/>
      </c>
      <c r="G8" s="5" t="inlineStr">
        <is>
          <t>fast</t>
        </is>
      </c>
      <c r="H8" s="5" t="inlineStr">
        <is>
          <t>GunBroker</t>
        </is>
      </c>
      <c r="I8" s="8" t="n"/>
    </row>
    <row r="9">
      <c r="A9" s="14" t="inlineStr">
        <is>
          <t>List item</t>
        </is>
      </c>
      <c r="B9" s="5" t="inlineStr">
        <is>
          <t>g7</t>
        </is>
      </c>
      <c r="C9" s="5" t="inlineStr">
        <is>
          <t>Semi-auto pistol</t>
        </is>
      </c>
      <c r="D9" s="6" t="n">
        <v>300</v>
      </c>
      <c r="E9" s="7" t="n"/>
      <c r="F9" s="6">
        <f>IF(E9="","",E9-D9)</f>
        <v/>
      </c>
      <c r="G9" s="5" t="inlineStr">
        <is>
          <t>fast</t>
        </is>
      </c>
      <c r="H9" s="5" t="inlineStr">
        <is>
          <t>GunBroker</t>
        </is>
      </c>
      <c r="I9" s="8" t="n"/>
    </row>
    <row r="10">
      <c r="A10" s="14" t="inlineStr">
        <is>
          <t>List item</t>
        </is>
      </c>
      <c r="B10" s="5" t="inlineStr">
        <is>
          <t>g8</t>
        </is>
      </c>
      <c r="C10" s="5" t="inlineStr">
        <is>
          <t>Revolver</t>
        </is>
      </c>
      <c r="D10" s="6" t="n">
        <v>325</v>
      </c>
      <c r="E10" s="7" t="n"/>
      <c r="F10" s="6">
        <f>IF(E10="","",E10-D10)</f>
        <v/>
      </c>
      <c r="G10" s="5" t="inlineStr">
        <is>
          <t>fast</t>
        </is>
      </c>
      <c r="H10" s="5" t="inlineStr">
        <is>
          <t>GunBroker</t>
        </is>
      </c>
      <c r="I10" s="8" t="n"/>
    </row>
    <row r="11">
      <c r="A11" s="14" t="inlineStr">
        <is>
          <t>List item</t>
        </is>
      </c>
      <c r="B11" s="5" t="inlineStr">
        <is>
          <t>g9</t>
        </is>
      </c>
      <c r="C11" s="5" t="inlineStr">
        <is>
          <t>Muzzleloader</t>
        </is>
      </c>
      <c r="D11" s="6" t="n">
        <v>150</v>
      </c>
      <c r="E11" s="7" t="n"/>
      <c r="F11" s="6">
        <f>IF(E11="","",E11-D11)</f>
        <v/>
      </c>
      <c r="G11" s="5" t="inlineStr">
        <is>
          <t>slow</t>
        </is>
      </c>
      <c r="H11" s="5" t="inlineStr">
        <is>
          <t>GunBroker</t>
        </is>
      </c>
      <c r="I11" s="8" t="n"/>
    </row>
    <row r="12">
      <c r="A12" s="14" t="inlineStr">
        <is>
          <t>List item</t>
        </is>
      </c>
      <c r="B12" s="5" t="inlineStr">
        <is>
          <t>g10</t>
        </is>
      </c>
      <c r="C12" s="5" t="inlineStr">
        <is>
          <t>Semi-auto rifle — hunting</t>
        </is>
      </c>
      <c r="D12" s="6" t="n">
        <v>450</v>
      </c>
      <c r="E12" s="7" t="n"/>
      <c r="F12" s="6">
        <f>IF(E12="","",E12-D12)</f>
        <v/>
      </c>
      <c r="G12" s="5" t="inlineStr">
        <is>
          <t>normal</t>
        </is>
      </c>
      <c r="H12" s="5" t="inlineStr">
        <is>
          <t>GunBroker</t>
        </is>
      </c>
      <c r="I12" s="8" t="n"/>
    </row>
    <row r="13">
      <c r="A13" s="14" t="inlineStr">
        <is>
          <t>Price book</t>
        </is>
      </c>
      <c r="B13" s="5" t="inlineStr">
        <is>
          <t>Gun safe</t>
        </is>
      </c>
      <c r="C13" s="5" t="inlineStr">
        <is>
          <t>Gun safe</t>
        </is>
      </c>
      <c r="D13" s="6" t="n">
        <v>400</v>
      </c>
      <c r="E13" s="7" t="n"/>
      <c r="F13" s="6">
        <f>IF(E13="","",E13-D13)</f>
        <v/>
      </c>
      <c r="G13" s="5" t="inlineStr">
        <is>
          <t>slow</t>
        </is>
      </c>
      <c r="H13" s="15" t="inlineStr">
        <is>
          <t>local only</t>
        </is>
      </c>
      <c r="I13" s="8" t="n"/>
    </row>
    <row r="14">
      <c r="A14" s="14" t="inlineStr">
        <is>
          <t>Price book</t>
        </is>
      </c>
      <c r="B14" s="5" t="inlineStr">
        <is>
          <t>Single-shot shotgun</t>
        </is>
      </c>
      <c r="C14" s="5" t="inlineStr">
        <is>
          <t>Single-shot shotgun</t>
        </is>
      </c>
      <c r="D14" s="6" t="n">
        <v>100</v>
      </c>
      <c r="E14" s="7" t="n"/>
      <c r="F14" s="6">
        <f>IF(E14="","",E14-D14)</f>
        <v/>
      </c>
      <c r="G14" s="5" t="inlineStr">
        <is>
          <t>fast</t>
        </is>
      </c>
      <c r="H14" s="5" t="inlineStr">
        <is>
          <t>GunBroker</t>
        </is>
      </c>
      <c r="I14" s="8" t="n"/>
    </row>
    <row r="15">
      <c r="A15" s="14" t="inlineStr">
        <is>
          <t>Price book</t>
        </is>
      </c>
      <c r="B15" s="5" t="inlineStr">
        <is>
          <t>SKS rifle</t>
        </is>
      </c>
      <c r="C15" s="5" t="inlineStr">
        <is>
          <t>SKS rifle</t>
        </is>
      </c>
      <c r="D15" s="6" t="n">
        <v>500</v>
      </c>
      <c r="E15" s="7" t="n"/>
      <c r="F15" s="6">
        <f>IF(E15="","",E15-D15)</f>
        <v/>
      </c>
      <c r="G15" s="5" t="inlineStr">
        <is>
          <t>normal</t>
        </is>
      </c>
      <c r="H15" s="5" t="inlineStr">
        <is>
          <t>GunBroker</t>
        </is>
      </c>
      <c r="I15" s="8" t="n"/>
    </row>
    <row r="16">
      <c r="A16" s="14" t="inlineStr">
        <is>
          <t>Price book</t>
        </is>
      </c>
      <c r="B16" s="5" t="inlineStr">
        <is>
          <t>AK-pattern rifle</t>
        </is>
      </c>
      <c r="C16" s="5" t="inlineStr">
        <is>
          <t>AK-pattern rifle</t>
        </is>
      </c>
      <c r="D16" s="6" t="n">
        <v>650</v>
      </c>
      <c r="E16" s="7" t="n"/>
      <c r="F16" s="6">
        <f>IF(E16="","",E16-D16)</f>
        <v/>
      </c>
      <c r="G16" s="5" t="inlineStr">
        <is>
          <t>normal</t>
        </is>
      </c>
      <c r="H16" s="5" t="inlineStr">
        <is>
          <t>GunBroker</t>
        </is>
      </c>
      <c r="I16" s="8" t="n"/>
    </row>
    <row r="17">
      <c r="A17" s="14" t="inlineStr">
        <is>
          <t>Price book</t>
        </is>
      </c>
      <c r="B17" s="5" t="inlineStr">
        <is>
          <t>Derringer</t>
        </is>
      </c>
      <c r="C17" s="5" t="inlineStr">
        <is>
          <t>Derringer</t>
        </is>
      </c>
      <c r="D17" s="6" t="n">
        <v>125</v>
      </c>
      <c r="E17" s="7" t="n"/>
      <c r="F17" s="6">
        <f>IF(E17="","",E17-D17)</f>
        <v/>
      </c>
      <c r="G17" s="5" t="inlineStr">
        <is>
          <t>normal</t>
        </is>
      </c>
      <c r="H17" s="5" t="inlineStr">
        <is>
          <t>GunBroker</t>
        </is>
      </c>
      <c r="I17" s="8" t="n"/>
    </row>
    <row r="18">
      <c r="A18" s="14" t="inlineStr">
        <is>
          <t>Price book</t>
        </is>
      </c>
      <c r="B18" s="5" t="inlineStr">
        <is>
          <t>Air rifle / pellet gun</t>
        </is>
      </c>
      <c r="C18" s="5" t="inlineStr">
        <is>
          <t>Air rifle / pellet gun</t>
        </is>
      </c>
      <c r="D18" s="6" t="n">
        <v>40</v>
      </c>
      <c r="E18" s="7" t="n"/>
      <c r="F18" s="6">
        <f>IF(E18="","",E18-D18)</f>
        <v/>
      </c>
      <c r="G18" s="5" t="inlineStr">
        <is>
          <t>normal</t>
        </is>
      </c>
      <c r="H18" s="5" t="inlineStr">
        <is>
          <t>GunBroker</t>
        </is>
      </c>
      <c r="I18" s="8" t="n"/>
    </row>
    <row r="19">
      <c r="A19" s="14" t="inlineStr">
        <is>
          <t>Price book</t>
        </is>
      </c>
      <c r="B19" s="5" t="inlineStr">
        <is>
          <t>Reloading press</t>
        </is>
      </c>
      <c r="C19" s="5" t="inlineStr">
        <is>
          <t>Reloading press</t>
        </is>
      </c>
      <c r="D19" s="6" t="n">
        <v>100</v>
      </c>
      <c r="E19" s="7" t="n"/>
      <c r="F19" s="6">
        <f>IF(E19="","",E19-D19)</f>
        <v/>
      </c>
      <c r="G19" s="5" t="inlineStr">
        <is>
          <t>slow</t>
        </is>
      </c>
      <c r="H19" s="5" t="inlineStr">
        <is>
          <t>GunBroker</t>
        </is>
      </c>
      <c r="I19" s="8" t="n"/>
    </row>
    <row r="20">
      <c r="A20" s="14" t="inlineStr">
        <is>
          <t>Price book</t>
        </is>
      </c>
      <c r="B20" s="5" t="inlineStr">
        <is>
          <t>Black-powder revolver</t>
        </is>
      </c>
      <c r="C20" s="5" t="inlineStr">
        <is>
          <t>Black-powder revolver</t>
        </is>
      </c>
      <c r="D20" s="6" t="n">
        <v>125</v>
      </c>
      <c r="E20" s="7" t="n"/>
      <c r="F20" s="6">
        <f>IF(E20="","",E20-D20)</f>
        <v/>
      </c>
      <c r="G20" s="5" t="inlineStr">
        <is>
          <t>slow</t>
        </is>
      </c>
      <c r="H20" s="5" t="inlineStr">
        <is>
          <t>GunBroker</t>
        </is>
      </c>
      <c r="I20" s="8" t="n"/>
    </row>
    <row r="21">
      <c r="A21" s="14" t="inlineStr">
        <is>
          <t>Price book</t>
        </is>
      </c>
      <c r="B21" s="5" t="inlineStr">
        <is>
          <t>Bayonet / military knife</t>
        </is>
      </c>
      <c r="C21" s="5" t="inlineStr">
        <is>
          <t>Bayonet / military knife</t>
        </is>
      </c>
      <c r="D21" s="6" t="n">
        <v>60</v>
      </c>
      <c r="E21" s="7" t="n"/>
      <c r="F21" s="6">
        <f>IF(E21="","",E21-D21)</f>
        <v/>
      </c>
      <c r="G21" s="5" t="inlineStr">
        <is>
          <t>slow</t>
        </is>
      </c>
      <c r="H21" s="5" t="inlineStr">
        <is>
          <t>GunBroker</t>
        </is>
      </c>
      <c r="I21" s="8" t="n"/>
    </row>
    <row r="22">
      <c r="A22" s="14" t="inlineStr">
        <is>
          <t>Price book</t>
        </is>
      </c>
      <c r="B22" s="5" t="inlineStr">
        <is>
          <t>Gun cabinet — wood</t>
        </is>
      </c>
      <c r="C22" s="5" t="inlineStr">
        <is>
          <t>Gun cabinet — wood</t>
        </is>
      </c>
      <c r="D22" s="6" t="n">
        <v>150</v>
      </c>
      <c r="E22" s="7" t="n"/>
      <c r="F22" s="6">
        <f>IF(E22="","",E22-D22)</f>
        <v/>
      </c>
      <c r="G22" s="5" t="inlineStr">
        <is>
          <t>slow</t>
        </is>
      </c>
      <c r="H22" s="15" t="inlineStr">
        <is>
          <t>local only</t>
        </is>
      </c>
      <c r="I22" s="8" t="n"/>
    </row>
    <row r="24">
      <c r="C24" s="2" t="inlineStr">
        <is>
          <t>Rows on this sheet</t>
        </is>
      </c>
      <c r="D24" s="2">
        <f>COUNTA(C3:C22)</f>
        <v/>
      </c>
    </row>
    <row r="25">
      <c r="C25" s="2" t="inlineStr">
        <is>
          <t>Ones you changed</t>
        </is>
      </c>
      <c r="D25" s="2">
        <f>COUNT(E3:E22)</f>
        <v/>
      </c>
    </row>
    <row r="27">
      <c r="A27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Outdoor power</t>
        </is>
      </c>
      <c r="D1" s="9" t="inlineStr">
        <is>
          <t>suggested loan: 35%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p1</t>
        </is>
      </c>
      <c r="C3" s="5" t="inlineStr">
        <is>
          <t>Chainsaw</t>
        </is>
      </c>
      <c r="D3" s="6" t="n">
        <v>180</v>
      </c>
      <c r="E3" s="7" t="n"/>
      <c r="F3" s="6">
        <f>IF(E3="","",E3-D3)</f>
        <v/>
      </c>
      <c r="G3" s="5" t="inlineStr">
        <is>
          <t>fast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p2</t>
        </is>
      </c>
      <c r="C4" s="5" t="inlineStr">
        <is>
          <t>String trimmer</t>
        </is>
      </c>
      <c r="D4" s="6" t="n">
        <v>110</v>
      </c>
      <c r="E4" s="7" t="n"/>
      <c r="F4" s="6">
        <f>IF(E4="","",E4-D4)</f>
        <v/>
      </c>
      <c r="G4" s="5" t="inlineStr">
        <is>
          <t>fast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p3</t>
        </is>
      </c>
      <c r="C5" s="5" t="inlineStr">
        <is>
          <t>Backpack blower</t>
        </is>
      </c>
      <c r="D5" s="6" t="n">
        <v>200</v>
      </c>
      <c r="E5" s="7" t="n"/>
      <c r="F5" s="6">
        <f>IF(E5="","",E5-D5)</f>
        <v/>
      </c>
      <c r="G5" s="5" t="inlineStr">
        <is>
          <t>normal</t>
        </is>
      </c>
      <c r="H5" s="5" t="inlineStr">
        <is>
          <t>ships</t>
        </is>
      </c>
      <c r="I5" s="8" t="n"/>
    </row>
    <row r="6">
      <c r="A6" s="14" t="inlineStr">
        <is>
          <t>List item</t>
        </is>
      </c>
      <c r="B6" s="5" t="inlineStr">
        <is>
          <t>p4</t>
        </is>
      </c>
      <c r="C6" s="5" t="inlineStr">
        <is>
          <t>Push mower</t>
        </is>
      </c>
      <c r="D6" s="6" t="n">
        <v>90</v>
      </c>
      <c r="E6" s="7" t="n"/>
      <c r="F6" s="6">
        <f>IF(E6="","",E6-D6)</f>
        <v/>
      </c>
      <c r="G6" s="5" t="inlineStr">
        <is>
          <t>fast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p5</t>
        </is>
      </c>
      <c r="C7" s="5" t="inlineStr">
        <is>
          <t>Riding mower</t>
        </is>
      </c>
      <c r="D7" s="6" t="n">
        <v>500</v>
      </c>
      <c r="E7" s="7" t="n"/>
      <c r="F7" s="6">
        <f>IF(E7="","",E7-D7)</f>
        <v/>
      </c>
      <c r="G7" s="5" t="inlineStr">
        <is>
          <t>normal</t>
        </is>
      </c>
      <c r="H7" s="15" t="inlineStr">
        <is>
          <t>local only</t>
        </is>
      </c>
      <c r="I7" s="8" t="n"/>
    </row>
    <row r="8">
      <c r="A8" s="14" t="inlineStr">
        <is>
          <t>List item</t>
        </is>
      </c>
      <c r="B8" s="5" t="inlineStr">
        <is>
          <t>p6</t>
        </is>
      </c>
      <c r="C8" s="5" t="inlineStr">
        <is>
          <t>Pressure washer</t>
        </is>
      </c>
      <c r="D8" s="6" t="n">
        <v>125</v>
      </c>
      <c r="E8" s="7" t="n"/>
      <c r="F8" s="6">
        <f>IF(E8="","",E8-D8)</f>
        <v/>
      </c>
      <c r="G8" s="5" t="inlineStr">
        <is>
          <t>normal</t>
        </is>
      </c>
      <c r="H8" s="15" t="inlineStr">
        <is>
          <t>local only</t>
        </is>
      </c>
      <c r="I8" s="8" t="n"/>
    </row>
    <row r="9">
      <c r="A9" s="14" t="inlineStr">
        <is>
          <t>List item</t>
        </is>
      </c>
      <c r="B9" s="5" t="inlineStr">
        <is>
          <t>p7</t>
        </is>
      </c>
      <c r="C9" s="5" t="inlineStr">
        <is>
          <t>Generator — 3.5 to 7.5kW</t>
        </is>
      </c>
      <c r="D9" s="6" t="n">
        <v>350</v>
      </c>
      <c r="E9" s="7" t="n"/>
      <c r="F9" s="6">
        <f>IF(E9="","",E9-D9)</f>
        <v/>
      </c>
      <c r="G9" s="5" t="inlineStr">
        <is>
          <t>fast</t>
        </is>
      </c>
      <c r="H9" s="15" t="inlineStr">
        <is>
          <t>local only</t>
        </is>
      </c>
      <c r="I9" s="8" t="n"/>
    </row>
    <row r="10">
      <c r="A10" s="14" t="inlineStr">
        <is>
          <t>Price book</t>
        </is>
      </c>
      <c r="B10" s="5" t="inlineStr">
        <is>
          <t>Zero-turn mower</t>
        </is>
      </c>
      <c r="C10" s="5" t="inlineStr">
        <is>
          <t>Zero-turn mower</t>
        </is>
      </c>
      <c r="D10" s="6" t="n">
        <v>2200</v>
      </c>
      <c r="E10" s="7" t="n"/>
      <c r="F10" s="6">
        <f>IF(E10="","",E10-D10)</f>
        <v/>
      </c>
      <c r="G10" s="5" t="inlineStr">
        <is>
          <t>normal</t>
        </is>
      </c>
      <c r="H10" s="15" t="inlineStr">
        <is>
          <t>local only</t>
        </is>
      </c>
      <c r="I10" s="8" t="n"/>
    </row>
    <row r="11">
      <c r="A11" s="14" t="inlineStr">
        <is>
          <t>Price book</t>
        </is>
      </c>
      <c r="B11" s="5" t="inlineStr">
        <is>
          <t>Tiller</t>
        </is>
      </c>
      <c r="C11" s="5" t="inlineStr">
        <is>
          <t>Tiller</t>
        </is>
      </c>
      <c r="D11" s="6" t="n">
        <v>150</v>
      </c>
      <c r="E11" s="7" t="n"/>
      <c r="F11" s="6">
        <f>IF(E11="","",E11-D11)</f>
        <v/>
      </c>
      <c r="G11" s="5" t="inlineStr">
        <is>
          <t>normal</t>
        </is>
      </c>
      <c r="H11" s="5" t="inlineStr">
        <is>
          <t>ships</t>
        </is>
      </c>
      <c r="I11" s="8" t="n"/>
    </row>
    <row r="12">
      <c r="A12" s="14" t="inlineStr">
        <is>
          <t>Price book</t>
        </is>
      </c>
      <c r="B12" s="5" t="inlineStr">
        <is>
          <t>Log splitter</t>
        </is>
      </c>
      <c r="C12" s="5" t="inlineStr">
        <is>
          <t>Log splitter</t>
        </is>
      </c>
      <c r="D12" s="6" t="n">
        <v>600</v>
      </c>
      <c r="E12" s="7" t="n"/>
      <c r="F12" s="6">
        <f>IF(E12="","",E12-D12)</f>
        <v/>
      </c>
      <c r="G12" s="5" t="inlineStr">
        <is>
          <t>normal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Pole saw</t>
        </is>
      </c>
      <c r="C13" s="5" t="inlineStr">
        <is>
          <t>Pole saw</t>
        </is>
      </c>
      <c r="D13" s="6" t="n">
        <v>130</v>
      </c>
      <c r="E13" s="7" t="n"/>
      <c r="F13" s="6">
        <f>IF(E13="","",E13-D13)</f>
        <v/>
      </c>
      <c r="G13" s="5" t="inlineStr">
        <is>
          <t>fast</t>
        </is>
      </c>
      <c r="H13" s="5" t="inlineStr">
        <is>
          <t>ships</t>
        </is>
      </c>
      <c r="I13" s="8" t="n"/>
    </row>
    <row r="14">
      <c r="A14" s="14" t="inlineStr">
        <is>
          <t>Price book</t>
        </is>
      </c>
      <c r="B14" s="5" t="inlineStr">
        <is>
          <t>Hedge trimmer</t>
        </is>
      </c>
      <c r="C14" s="5" t="inlineStr">
        <is>
          <t>Hedge trimmer</t>
        </is>
      </c>
      <c r="D14" s="6" t="n">
        <v>70</v>
      </c>
      <c r="E14" s="7" t="n"/>
      <c r="F14" s="6">
        <f>IF(E14="","",E14-D14)</f>
        <v/>
      </c>
      <c r="G14" s="5" t="inlineStr">
        <is>
          <t>normal</t>
        </is>
      </c>
      <c r="H14" s="5" t="inlineStr">
        <is>
          <t>ships</t>
        </is>
      </c>
      <c r="I14" s="8" t="n"/>
    </row>
    <row r="15">
      <c r="A15" s="14" t="inlineStr">
        <is>
          <t>Price book</t>
        </is>
      </c>
      <c r="B15" s="5" t="inlineStr">
        <is>
          <t>Lawn edger</t>
        </is>
      </c>
      <c r="C15" s="5" t="inlineStr">
        <is>
          <t>Lawn edger</t>
        </is>
      </c>
      <c r="D15" s="6" t="n">
        <v>80</v>
      </c>
      <c r="E15" s="7" t="n"/>
      <c r="F15" s="6">
        <f>IF(E15="","",E15-D15)</f>
        <v/>
      </c>
      <c r="G15" s="5" t="inlineStr">
        <is>
          <t>normal</t>
        </is>
      </c>
      <c r="H15" s="5" t="inlineStr">
        <is>
          <t>ships</t>
        </is>
      </c>
      <c r="I15" s="8" t="n"/>
    </row>
    <row r="16">
      <c r="A16" s="14" t="inlineStr">
        <is>
          <t>Price book</t>
        </is>
      </c>
      <c r="B16" s="5" t="inlineStr">
        <is>
          <t>Water pump — gas</t>
        </is>
      </c>
      <c r="C16" s="5" t="inlineStr">
        <is>
          <t>Water pump — gas</t>
        </is>
      </c>
      <c r="D16" s="6" t="n">
        <v>150</v>
      </c>
      <c r="E16" s="7" t="n"/>
      <c r="F16" s="6">
        <f>IF(E16="","",E16-D16)</f>
        <v/>
      </c>
      <c r="G16" s="5" t="inlineStr">
        <is>
          <t>normal</t>
        </is>
      </c>
      <c r="H16" s="5" t="inlineStr">
        <is>
          <t>ships</t>
        </is>
      </c>
      <c r="I16" s="8" t="n"/>
    </row>
    <row r="17">
      <c r="A17" s="14" t="inlineStr">
        <is>
          <t>Price book</t>
        </is>
      </c>
      <c r="B17" s="5" t="inlineStr">
        <is>
          <t>Inverter generator — 2kW</t>
        </is>
      </c>
      <c r="C17" s="5" t="inlineStr">
        <is>
          <t>Inverter generator — 2kW</t>
        </is>
      </c>
      <c r="D17" s="6" t="n">
        <v>300</v>
      </c>
      <c r="E17" s="7" t="n"/>
      <c r="F17" s="6">
        <f>IF(E17="","",E17-D17)</f>
        <v/>
      </c>
      <c r="G17" s="5" t="inlineStr">
        <is>
          <t>fast</t>
        </is>
      </c>
      <c r="H17" s="15" t="inlineStr">
        <is>
          <t>local only</t>
        </is>
      </c>
      <c r="I17" s="8" t="n"/>
    </row>
    <row r="18">
      <c r="A18" s="14" t="inlineStr">
        <is>
          <t>Price book</t>
        </is>
      </c>
      <c r="B18" s="5" t="inlineStr">
        <is>
          <t>Welder/generator combo</t>
        </is>
      </c>
      <c r="C18" s="5" t="inlineStr">
        <is>
          <t>Welder/generator combo</t>
        </is>
      </c>
      <c r="D18" s="6" t="n">
        <v>800</v>
      </c>
      <c r="E18" s="7" t="n"/>
      <c r="F18" s="6">
        <f>IF(E18="","",E18-D18)</f>
        <v/>
      </c>
      <c r="G18" s="5" t="inlineStr">
        <is>
          <t>slow</t>
        </is>
      </c>
      <c r="H18" s="15" t="inlineStr">
        <is>
          <t>local only</t>
        </is>
      </c>
      <c r="I18" s="8" t="n"/>
    </row>
    <row r="19">
      <c r="A19" s="14" t="inlineStr">
        <is>
          <t>Price book</t>
        </is>
      </c>
      <c r="B19" s="5" t="inlineStr">
        <is>
          <t>Post hole digger — gas</t>
        </is>
      </c>
      <c r="C19" s="5" t="inlineStr">
        <is>
          <t>Post hole digger — gas</t>
        </is>
      </c>
      <c r="D19" s="6" t="n">
        <v>140</v>
      </c>
      <c r="E19" s="7" t="n"/>
      <c r="F19" s="6">
        <f>IF(E19="","",E19-D19)</f>
        <v/>
      </c>
      <c r="G19" s="5" t="inlineStr">
        <is>
          <t>slow</t>
        </is>
      </c>
      <c r="H19" s="5" t="inlineStr">
        <is>
          <t>ships</t>
        </is>
      </c>
      <c r="I19" s="8" t="n"/>
    </row>
    <row r="20">
      <c r="A20" s="14" t="inlineStr">
        <is>
          <t>Price book</t>
        </is>
      </c>
      <c r="B20" s="5" t="inlineStr">
        <is>
          <t>Fence charger</t>
        </is>
      </c>
      <c r="C20" s="5" t="inlineStr">
        <is>
          <t>Fence charger</t>
        </is>
      </c>
      <c r="D20" s="6" t="n">
        <v>60</v>
      </c>
      <c r="E20" s="7" t="n"/>
      <c r="F20" s="6">
        <f>IF(E20="","",E20-D20)</f>
        <v/>
      </c>
      <c r="G20" s="5" t="inlineStr">
        <is>
          <t>normal</t>
        </is>
      </c>
      <c r="H20" s="5" t="inlineStr">
        <is>
          <t>ships</t>
        </is>
      </c>
      <c r="I20" s="8" t="n"/>
    </row>
    <row r="21">
      <c r="A21" s="14" t="inlineStr">
        <is>
          <t>Price book</t>
        </is>
      </c>
      <c r="B21" s="5" t="inlineStr">
        <is>
          <t>Sprayer tank — 25 to 55 gal</t>
        </is>
      </c>
      <c r="C21" s="5" t="inlineStr">
        <is>
          <t>Sprayer tank — 25 to 55 gal</t>
        </is>
      </c>
      <c r="D21" s="6" t="n">
        <v>120</v>
      </c>
      <c r="E21" s="7" t="n"/>
      <c r="F21" s="6">
        <f>IF(E21="","",E21-D21)</f>
        <v/>
      </c>
      <c r="G21" s="5" t="inlineStr">
        <is>
          <t>slow</t>
        </is>
      </c>
      <c r="H21" s="5" t="inlineStr">
        <is>
          <t>ships</t>
        </is>
      </c>
      <c r="I21" s="8" t="n"/>
    </row>
    <row r="22">
      <c r="A22" s="14" t="inlineStr">
        <is>
          <t>Price book</t>
        </is>
      </c>
      <c r="B22" s="5" t="inlineStr">
        <is>
          <t>Earth auger — one man</t>
        </is>
      </c>
      <c r="C22" s="5" t="inlineStr">
        <is>
          <t>Earth auger — one man</t>
        </is>
      </c>
      <c r="D22" s="6" t="n">
        <v>180</v>
      </c>
      <c r="E22" s="7" t="n"/>
      <c r="F22" s="6">
        <f>IF(E22="","",E22-D22)</f>
        <v/>
      </c>
      <c r="G22" s="5" t="inlineStr">
        <is>
          <t>normal</t>
        </is>
      </c>
      <c r="H22" s="5" t="inlineStr">
        <is>
          <t>ships</t>
        </is>
      </c>
      <c r="I22" s="8" t="n"/>
    </row>
    <row r="23">
      <c r="A23" s="14" t="inlineStr">
        <is>
          <t>Price book</t>
        </is>
      </c>
      <c r="B23" s="5" t="inlineStr">
        <is>
          <t>Livestock water trough</t>
        </is>
      </c>
      <c r="C23" s="5" t="inlineStr">
        <is>
          <t>Livestock water trough</t>
        </is>
      </c>
      <c r="D23" s="6" t="n">
        <v>40</v>
      </c>
      <c r="E23" s="7" t="n"/>
      <c r="F23" s="6">
        <f>IF(E23="","",E23-D23)</f>
        <v/>
      </c>
      <c r="G23" s="5" t="inlineStr">
        <is>
          <t>slow</t>
        </is>
      </c>
      <c r="H23" s="5" t="inlineStr">
        <is>
          <t>ships</t>
        </is>
      </c>
      <c r="I23" s="8" t="n"/>
    </row>
    <row r="24">
      <c r="A24" s="14" t="inlineStr">
        <is>
          <t>Price book</t>
        </is>
      </c>
      <c r="B24" s="5" t="inlineStr">
        <is>
          <t>Chicken coop</t>
        </is>
      </c>
      <c r="C24" s="5" t="inlineStr">
        <is>
          <t>Chicken coop</t>
        </is>
      </c>
      <c r="D24" s="6" t="n">
        <v>120</v>
      </c>
      <c r="E24" s="7" t="n"/>
      <c r="F24" s="6">
        <f>IF(E24="","",E24-D24)</f>
        <v/>
      </c>
      <c r="G24" s="5" t="inlineStr">
        <is>
          <t>slow</t>
        </is>
      </c>
      <c r="H24" s="5" t="inlineStr">
        <is>
          <t>ships</t>
        </is>
      </c>
      <c r="I24" s="8" t="n"/>
    </row>
    <row r="25">
      <c r="A25" s="14" t="inlineStr">
        <is>
          <t>Price book</t>
        </is>
      </c>
      <c r="B25" s="5" t="inlineStr">
        <is>
          <t>Transfer pump — gas</t>
        </is>
      </c>
      <c r="C25" s="5" t="inlineStr">
        <is>
          <t>Transfer pump — gas</t>
        </is>
      </c>
      <c r="D25" s="6" t="n">
        <v>90</v>
      </c>
      <c r="E25" s="7" t="n"/>
      <c r="F25" s="6">
        <f>IF(E25="","",E25-D25)</f>
        <v/>
      </c>
      <c r="G25" s="5" t="inlineStr">
        <is>
          <t>normal</t>
        </is>
      </c>
      <c r="H25" s="5" t="inlineStr">
        <is>
          <t>ships</t>
        </is>
      </c>
      <c r="I25" s="8" t="n"/>
    </row>
    <row r="27">
      <c r="C27" s="2" t="inlineStr">
        <is>
          <t>Rows on this sheet</t>
        </is>
      </c>
      <c r="D27" s="2">
        <f>COUNTA(C3:C25)</f>
        <v/>
      </c>
    </row>
    <row r="28">
      <c r="C28" s="2" t="inlineStr">
        <is>
          <t>Ones you changed</t>
        </is>
      </c>
      <c r="D28" s="2">
        <f>COUNT(E3:E25)</f>
        <v/>
      </c>
    </row>
    <row r="30">
      <c r="A30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Tools</t>
        </is>
      </c>
      <c r="D1" s="9" t="inlineStr">
        <is>
          <t>suggested loan: 35%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t1</t>
        </is>
      </c>
      <c r="C3" s="5" t="inlineStr">
        <is>
          <t>Cordless drill / driver kit</t>
        </is>
      </c>
      <c r="D3" s="6" t="n">
        <v>110</v>
      </c>
      <c r="E3" s="7" t="n"/>
      <c r="F3" s="6">
        <f>IF(E3="","",E3-D3)</f>
        <v/>
      </c>
      <c r="G3" s="5" t="inlineStr">
        <is>
          <t>fast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t2</t>
        </is>
      </c>
      <c r="C4" s="5" t="inlineStr">
        <is>
          <t>Impact wrench</t>
        </is>
      </c>
      <c r="D4" s="6" t="n">
        <v>130</v>
      </c>
      <c r="E4" s="7" t="n"/>
      <c r="F4" s="6">
        <f>IF(E4="","",E4-D4)</f>
        <v/>
      </c>
      <c r="G4" s="5" t="inlineStr">
        <is>
          <t>fast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t3</t>
        </is>
      </c>
      <c r="C5" s="5" t="inlineStr">
        <is>
          <t>Angle grinder</t>
        </is>
      </c>
      <c r="D5" s="6" t="n">
        <v>45</v>
      </c>
      <c r="E5" s="7" t="n"/>
      <c r="F5" s="6">
        <f>IF(E5="","",E5-D5)</f>
        <v/>
      </c>
      <c r="G5" s="5" t="inlineStr">
        <is>
          <t>normal</t>
        </is>
      </c>
      <c r="H5" s="5" t="inlineStr">
        <is>
          <t>ships</t>
        </is>
      </c>
      <c r="I5" s="8" t="n"/>
    </row>
    <row r="6">
      <c r="A6" s="14" t="inlineStr">
        <is>
          <t>List item</t>
        </is>
      </c>
      <c r="B6" s="5" t="inlineStr">
        <is>
          <t>t4</t>
        </is>
      </c>
      <c r="C6" s="5" t="inlineStr">
        <is>
          <t>Air compressor — pancake</t>
        </is>
      </c>
      <c r="D6" s="6" t="n">
        <v>70</v>
      </c>
      <c r="E6" s="7" t="n"/>
      <c r="F6" s="6">
        <f>IF(E6="","",E6-D6)</f>
        <v/>
      </c>
      <c r="G6" s="5" t="inlineStr">
        <is>
          <t>normal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t5</t>
        </is>
      </c>
      <c r="C7" s="5" t="inlineStr">
        <is>
          <t>Air compressor — 60 gal upright</t>
        </is>
      </c>
      <c r="D7" s="6" t="n">
        <v>250</v>
      </c>
      <c r="E7" s="7" t="n"/>
      <c r="F7" s="6">
        <f>IF(E7="","",E7-D7)</f>
        <v/>
      </c>
      <c r="G7" s="5" t="inlineStr">
        <is>
          <t>slow</t>
        </is>
      </c>
      <c r="H7" s="15" t="inlineStr">
        <is>
          <t>local only</t>
        </is>
      </c>
      <c r="I7" s="8" t="n"/>
    </row>
    <row r="8">
      <c r="A8" s="14" t="inlineStr">
        <is>
          <t>List item</t>
        </is>
      </c>
      <c r="B8" s="5" t="inlineStr">
        <is>
          <t>t6</t>
        </is>
      </c>
      <c r="C8" s="5" t="inlineStr">
        <is>
          <t>MIG welder — 110v</t>
        </is>
      </c>
      <c r="D8" s="6" t="n">
        <v>250</v>
      </c>
      <c r="E8" s="7" t="n"/>
      <c r="F8" s="6">
        <f>IF(E8="","",E8-D8)</f>
        <v/>
      </c>
      <c r="G8" s="5" t="inlineStr">
        <is>
          <t>normal</t>
        </is>
      </c>
      <c r="H8" s="5" t="inlineStr">
        <is>
          <t>ships</t>
        </is>
      </c>
      <c r="I8" s="8" t="n"/>
    </row>
    <row r="9">
      <c r="A9" s="14" t="inlineStr">
        <is>
          <t>List item</t>
        </is>
      </c>
      <c r="B9" s="5" t="inlineStr">
        <is>
          <t>t7</t>
        </is>
      </c>
      <c r="C9" s="5" t="inlineStr">
        <is>
          <t>Rolling tool box</t>
        </is>
      </c>
      <c r="D9" s="6" t="n">
        <v>150</v>
      </c>
      <c r="E9" s="7" t="n"/>
      <c r="F9" s="6">
        <f>IF(E9="","",E9-D9)</f>
        <v/>
      </c>
      <c r="G9" s="5" t="inlineStr">
        <is>
          <t>slow</t>
        </is>
      </c>
      <c r="H9" s="15" t="inlineStr">
        <is>
          <t>local only</t>
        </is>
      </c>
      <c r="I9" s="8" t="n"/>
    </row>
    <row r="10">
      <c r="A10" s="14" t="inlineStr">
        <is>
          <t>List item</t>
        </is>
      </c>
      <c r="B10" s="5" t="inlineStr">
        <is>
          <t>t8</t>
        </is>
      </c>
      <c r="C10" s="5" t="inlineStr">
        <is>
          <t>Framing nailer</t>
        </is>
      </c>
      <c r="D10" s="6" t="n">
        <v>120</v>
      </c>
      <c r="E10" s="7" t="n"/>
      <c r="F10" s="6">
        <f>IF(E10="","",E10-D10)</f>
        <v/>
      </c>
      <c r="G10" s="5" t="inlineStr">
        <is>
          <t>normal</t>
        </is>
      </c>
      <c r="H10" s="5" t="inlineStr">
        <is>
          <t>ships</t>
        </is>
      </c>
      <c r="I10" s="8" t="n"/>
    </row>
    <row r="11">
      <c r="A11" s="14" t="inlineStr">
        <is>
          <t>Price book</t>
        </is>
      </c>
      <c r="B11" s="5" t="inlineStr">
        <is>
          <t>Band saw — benchtop</t>
        </is>
      </c>
      <c r="C11" s="5" t="inlineStr">
        <is>
          <t>Band saw — benchtop</t>
        </is>
      </c>
      <c r="D11" s="6" t="n">
        <v>160</v>
      </c>
      <c r="E11" s="7" t="n"/>
      <c r="F11" s="6">
        <f>IF(E11="","",E11-D11)</f>
        <v/>
      </c>
      <c r="G11" s="5" t="inlineStr">
        <is>
          <t>slow</t>
        </is>
      </c>
      <c r="H11" s="15" t="inlineStr">
        <is>
          <t>local only</t>
        </is>
      </c>
      <c r="I11" s="8" t="n"/>
    </row>
    <row r="12">
      <c r="A12" s="14" t="inlineStr">
        <is>
          <t>Price book</t>
        </is>
      </c>
      <c r="B12" s="5" t="inlineStr">
        <is>
          <t>TIG / stick welder</t>
        </is>
      </c>
      <c r="C12" s="5" t="inlineStr">
        <is>
          <t>TIG / stick welder</t>
        </is>
      </c>
      <c r="D12" s="6" t="n">
        <v>320</v>
      </c>
      <c r="E12" s="7" t="n"/>
      <c r="F12" s="6">
        <f>IF(E12="","",E12-D12)</f>
        <v/>
      </c>
      <c r="G12" s="5" t="inlineStr">
        <is>
          <t>slow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Table saw</t>
        </is>
      </c>
      <c r="C13" s="5" t="inlineStr">
        <is>
          <t>Table saw</t>
        </is>
      </c>
      <c r="D13" s="6" t="n">
        <v>200</v>
      </c>
      <c r="E13" s="7" t="n"/>
      <c r="F13" s="6">
        <f>IF(E13="","",E13-D13)</f>
        <v/>
      </c>
      <c r="G13" s="5" t="inlineStr">
        <is>
          <t>normal</t>
        </is>
      </c>
      <c r="H13" s="15" t="inlineStr">
        <is>
          <t>local only</t>
        </is>
      </c>
      <c r="I13" s="8" t="n"/>
    </row>
    <row r="14">
      <c r="A14" s="14" t="inlineStr">
        <is>
          <t>Price book</t>
        </is>
      </c>
      <c r="B14" s="5" t="inlineStr">
        <is>
          <t>Miter saw / chop saw</t>
        </is>
      </c>
      <c r="C14" s="5" t="inlineStr">
        <is>
          <t>Miter saw / chop saw</t>
        </is>
      </c>
      <c r="D14" s="6" t="n">
        <v>150</v>
      </c>
      <c r="E14" s="7" t="n"/>
      <c r="F14" s="6">
        <f>IF(E14="","",E14-D14)</f>
        <v/>
      </c>
      <c r="G14" s="5" t="inlineStr">
        <is>
          <t>fast</t>
        </is>
      </c>
      <c r="H14" s="5" t="inlineStr">
        <is>
          <t>ships</t>
        </is>
      </c>
      <c r="I14" s="8" t="n"/>
    </row>
    <row r="15">
      <c r="A15" s="14" t="inlineStr">
        <is>
          <t>Price book</t>
        </is>
      </c>
      <c r="B15" s="5" t="inlineStr">
        <is>
          <t>Circular saw</t>
        </is>
      </c>
      <c r="C15" s="5" t="inlineStr">
        <is>
          <t>Circular saw</t>
        </is>
      </c>
      <c r="D15" s="6" t="n">
        <v>50</v>
      </c>
      <c r="E15" s="7" t="n"/>
      <c r="F15" s="6">
        <f>IF(E15="","",E15-D15)</f>
        <v/>
      </c>
      <c r="G15" s="5" t="inlineStr">
        <is>
          <t>fast</t>
        </is>
      </c>
      <c r="H15" s="5" t="inlineStr">
        <is>
          <t>ships</t>
        </is>
      </c>
      <c r="I15" s="8" t="n"/>
    </row>
    <row r="16">
      <c r="A16" s="14" t="inlineStr">
        <is>
          <t>Price book</t>
        </is>
      </c>
      <c r="B16" s="5" t="inlineStr">
        <is>
          <t>Reciprocating saw</t>
        </is>
      </c>
      <c r="C16" s="5" t="inlineStr">
        <is>
          <t>Reciprocating saw</t>
        </is>
      </c>
      <c r="D16" s="6" t="n">
        <v>60</v>
      </c>
      <c r="E16" s="7" t="n"/>
      <c r="F16" s="6">
        <f>IF(E16="","",E16-D16)</f>
        <v/>
      </c>
      <c r="G16" s="5" t="inlineStr">
        <is>
          <t>fast</t>
        </is>
      </c>
      <c r="H16" s="5" t="inlineStr">
        <is>
          <t>ships</t>
        </is>
      </c>
      <c r="I16" s="8" t="n"/>
    </row>
    <row r="17">
      <c r="A17" s="14" t="inlineStr">
        <is>
          <t>Price book</t>
        </is>
      </c>
      <c r="B17" s="5" t="inlineStr">
        <is>
          <t>Jigsaw</t>
        </is>
      </c>
      <c r="C17" s="5" t="inlineStr">
        <is>
          <t>Jigsaw</t>
        </is>
      </c>
      <c r="D17" s="6" t="n">
        <v>40</v>
      </c>
      <c r="E17" s="7" t="n"/>
      <c r="F17" s="6">
        <f>IF(E17="","",E17-D17)</f>
        <v/>
      </c>
      <c r="G17" s="5" t="inlineStr">
        <is>
          <t>normal</t>
        </is>
      </c>
      <c r="H17" s="5" t="inlineStr">
        <is>
          <t>ships</t>
        </is>
      </c>
      <c r="I17" s="8" t="n"/>
    </row>
    <row r="18">
      <c r="A18" s="14" t="inlineStr">
        <is>
          <t>Price book</t>
        </is>
      </c>
      <c r="B18" s="5" t="inlineStr">
        <is>
          <t>Router</t>
        </is>
      </c>
      <c r="C18" s="5" t="inlineStr">
        <is>
          <t>Router</t>
        </is>
      </c>
      <c r="D18" s="6" t="n">
        <v>70</v>
      </c>
      <c r="E18" s="7" t="n"/>
      <c r="F18" s="6">
        <f>IF(E18="","",E18-D18)</f>
        <v/>
      </c>
      <c r="G18" s="5" t="inlineStr">
        <is>
          <t>normal</t>
        </is>
      </c>
      <c r="H18" s="5" t="inlineStr">
        <is>
          <t>ships</t>
        </is>
      </c>
      <c r="I18" s="8" t="n"/>
    </row>
    <row r="19">
      <c r="A19" s="14" t="inlineStr">
        <is>
          <t>Price book</t>
        </is>
      </c>
      <c r="B19" s="5" t="inlineStr">
        <is>
          <t>Benchtop planer</t>
        </is>
      </c>
      <c r="C19" s="5" t="inlineStr">
        <is>
          <t>Benchtop planer</t>
        </is>
      </c>
      <c r="D19" s="6" t="n">
        <v>180</v>
      </c>
      <c r="E19" s="7" t="n"/>
      <c r="F19" s="6">
        <f>IF(E19="","",E19-D19)</f>
        <v/>
      </c>
      <c r="G19" s="5" t="inlineStr">
        <is>
          <t>normal</t>
        </is>
      </c>
      <c r="H19" s="5" t="inlineStr">
        <is>
          <t>ships</t>
        </is>
      </c>
      <c r="I19" s="8" t="n"/>
    </row>
    <row r="20">
      <c r="A20" s="14" t="inlineStr">
        <is>
          <t>Price book</t>
        </is>
      </c>
      <c r="B20" s="5" t="inlineStr">
        <is>
          <t>Drill press</t>
        </is>
      </c>
      <c r="C20" s="5" t="inlineStr">
        <is>
          <t>Drill press</t>
        </is>
      </c>
      <c r="D20" s="6" t="n">
        <v>150</v>
      </c>
      <c r="E20" s="7" t="n"/>
      <c r="F20" s="6">
        <f>IF(E20="","",E20-D20)</f>
        <v/>
      </c>
      <c r="G20" s="5" t="inlineStr">
        <is>
          <t>slow</t>
        </is>
      </c>
      <c r="H20" s="15" t="inlineStr">
        <is>
          <t>local only</t>
        </is>
      </c>
      <c r="I20" s="8" t="n"/>
    </row>
    <row r="21">
      <c r="A21" s="14" t="inlineStr">
        <is>
          <t>Price book</t>
        </is>
      </c>
      <c r="B21" s="5" t="inlineStr">
        <is>
          <t>Bench grinder</t>
        </is>
      </c>
      <c r="C21" s="5" t="inlineStr">
        <is>
          <t>Bench grinder</t>
        </is>
      </c>
      <c r="D21" s="6" t="n">
        <v>45</v>
      </c>
      <c r="E21" s="7" t="n"/>
      <c r="F21" s="6">
        <f>IF(E21="","",E21-D21)</f>
        <v/>
      </c>
      <c r="G21" s="5" t="inlineStr">
        <is>
          <t>normal</t>
        </is>
      </c>
      <c r="H21" s="5" t="inlineStr">
        <is>
          <t>ships</t>
        </is>
      </c>
      <c r="I21" s="8" t="n"/>
    </row>
    <row r="22">
      <c r="A22" s="14" t="inlineStr">
        <is>
          <t>Price book</t>
        </is>
      </c>
      <c r="B22" s="5" t="inlineStr">
        <is>
          <t>Shop vac</t>
        </is>
      </c>
      <c r="C22" s="5" t="inlineStr">
        <is>
          <t>Shop vac</t>
        </is>
      </c>
      <c r="D22" s="6" t="n">
        <v>40</v>
      </c>
      <c r="E22" s="7" t="n"/>
      <c r="F22" s="6">
        <f>IF(E22="","",E22-D22)</f>
        <v/>
      </c>
      <c r="G22" s="5" t="inlineStr">
        <is>
          <t>fast</t>
        </is>
      </c>
      <c r="H22" s="5" t="inlineStr">
        <is>
          <t>ships</t>
        </is>
      </c>
      <c r="I22" s="8" t="n"/>
    </row>
    <row r="23">
      <c r="A23" s="14" t="inlineStr">
        <is>
          <t>Price book</t>
        </is>
      </c>
      <c r="B23" s="5" t="inlineStr">
        <is>
          <t>Extension ladder</t>
        </is>
      </c>
      <c r="C23" s="5" t="inlineStr">
        <is>
          <t>Extension ladder</t>
        </is>
      </c>
      <c r="D23" s="6" t="n">
        <v>90</v>
      </c>
      <c r="E23" s="7" t="n"/>
      <c r="F23" s="6">
        <f>IF(E23="","",E23-D23)</f>
        <v/>
      </c>
      <c r="G23" s="5" t="inlineStr">
        <is>
          <t>normal</t>
        </is>
      </c>
      <c r="H23" s="15" t="inlineStr">
        <is>
          <t>local only</t>
        </is>
      </c>
      <c r="I23" s="8" t="n"/>
    </row>
    <row r="24">
      <c r="A24" s="14" t="inlineStr">
        <is>
          <t>Price book</t>
        </is>
      </c>
      <c r="B24" s="5" t="inlineStr">
        <is>
          <t>Floor jack</t>
        </is>
      </c>
      <c r="C24" s="5" t="inlineStr">
        <is>
          <t>Floor jack</t>
        </is>
      </c>
      <c r="D24" s="6" t="n">
        <v>60</v>
      </c>
      <c r="E24" s="7" t="n"/>
      <c r="F24" s="6">
        <f>IF(E24="","",E24-D24)</f>
        <v/>
      </c>
      <c r="G24" s="5" t="inlineStr">
        <is>
          <t>fast</t>
        </is>
      </c>
      <c r="H24" s="5" t="inlineStr">
        <is>
          <t>ships</t>
        </is>
      </c>
      <c r="I24" s="8" t="n"/>
    </row>
    <row r="25">
      <c r="A25" s="14" t="inlineStr">
        <is>
          <t>Price book</t>
        </is>
      </c>
      <c r="B25" s="5" t="inlineStr">
        <is>
          <t>Jack stands — pair</t>
        </is>
      </c>
      <c r="C25" s="5" t="inlineStr">
        <is>
          <t>Jack stands — pair</t>
        </is>
      </c>
      <c r="D25" s="6" t="n">
        <v>25</v>
      </c>
      <c r="E25" s="7" t="n"/>
      <c r="F25" s="6">
        <f>IF(E25="","",E25-D25)</f>
        <v/>
      </c>
      <c r="G25" s="5" t="inlineStr">
        <is>
          <t>fast</t>
        </is>
      </c>
      <c r="H25" s="5" t="inlineStr">
        <is>
          <t>ships</t>
        </is>
      </c>
      <c r="I25" s="8" t="n"/>
    </row>
    <row r="26">
      <c r="A26" s="14" t="inlineStr">
        <is>
          <t>Price book</t>
        </is>
      </c>
      <c r="B26" s="5" t="inlineStr">
        <is>
          <t>Socket set — complete</t>
        </is>
      </c>
      <c r="C26" s="5" t="inlineStr">
        <is>
          <t>Socket set — complete</t>
        </is>
      </c>
      <c r="D26" s="6" t="n">
        <v>60</v>
      </c>
      <c r="E26" s="7" t="n"/>
      <c r="F26" s="6">
        <f>IF(E26="","",E26-D26)</f>
        <v/>
      </c>
      <c r="G26" s="5" t="inlineStr">
        <is>
          <t>fast</t>
        </is>
      </c>
      <c r="H26" s="5" t="inlineStr">
        <is>
          <t>ships</t>
        </is>
      </c>
      <c r="I26" s="8" t="n"/>
    </row>
    <row r="27">
      <c r="A27" s="14" t="inlineStr">
        <is>
          <t>Price book</t>
        </is>
      </c>
      <c r="B27" s="5" t="inlineStr">
        <is>
          <t>Torque wrench</t>
        </is>
      </c>
      <c r="C27" s="5" t="inlineStr">
        <is>
          <t>Torque wrench</t>
        </is>
      </c>
      <c r="D27" s="6" t="n">
        <v>40</v>
      </c>
      <c r="E27" s="7" t="n"/>
      <c r="F27" s="6">
        <f>IF(E27="","",E27-D27)</f>
        <v/>
      </c>
      <c r="G27" s="5" t="inlineStr">
        <is>
          <t>normal</t>
        </is>
      </c>
      <c r="H27" s="5" t="inlineStr">
        <is>
          <t>ships</t>
        </is>
      </c>
      <c r="I27" s="8" t="n"/>
    </row>
    <row r="28">
      <c r="A28" s="14" t="inlineStr">
        <is>
          <t>Price book</t>
        </is>
      </c>
      <c r="B28" s="5" t="inlineStr">
        <is>
          <t>Come-along / hand winch</t>
        </is>
      </c>
      <c r="C28" s="5" t="inlineStr">
        <is>
          <t>Come-along / hand winch</t>
        </is>
      </c>
      <c r="D28" s="6" t="n">
        <v>40</v>
      </c>
      <c r="E28" s="7" t="n"/>
      <c r="F28" s="6">
        <f>IF(E28="","",E28-D28)</f>
        <v/>
      </c>
      <c r="G28" s="5" t="inlineStr">
        <is>
          <t>normal</t>
        </is>
      </c>
      <c r="H28" s="5" t="inlineStr">
        <is>
          <t>ships</t>
        </is>
      </c>
      <c r="I28" s="8" t="n"/>
    </row>
    <row r="29">
      <c r="A29" s="14" t="inlineStr">
        <is>
          <t>Price book</t>
        </is>
      </c>
      <c r="B29" s="5" t="inlineStr">
        <is>
          <t>Chain hoist</t>
        </is>
      </c>
      <c r="C29" s="5" t="inlineStr">
        <is>
          <t>Chain hoist</t>
        </is>
      </c>
      <c r="D29" s="6" t="n">
        <v>60</v>
      </c>
      <c r="E29" s="7" t="n"/>
      <c r="F29" s="6">
        <f>IF(E29="","",E29-D29)</f>
        <v/>
      </c>
      <c r="G29" s="5" t="inlineStr">
        <is>
          <t>normal</t>
        </is>
      </c>
      <c r="H29" s="5" t="inlineStr">
        <is>
          <t>ships</t>
        </is>
      </c>
      <c r="I29" s="8" t="n"/>
    </row>
    <row r="30">
      <c r="A30" s="14" t="inlineStr">
        <is>
          <t>Price book</t>
        </is>
      </c>
      <c r="B30" s="5" t="inlineStr">
        <is>
          <t>Engine hoist</t>
        </is>
      </c>
      <c r="C30" s="5" t="inlineStr">
        <is>
          <t>Engine hoist</t>
        </is>
      </c>
      <c r="D30" s="6" t="n">
        <v>120</v>
      </c>
      <c r="E30" s="7" t="n"/>
      <c r="F30" s="6">
        <f>IF(E30="","",E30-D30)</f>
        <v/>
      </c>
      <c r="G30" s="5" t="inlineStr">
        <is>
          <t>slow</t>
        </is>
      </c>
      <c r="H30" s="15" t="inlineStr">
        <is>
          <t>local only</t>
        </is>
      </c>
      <c r="I30" s="8" t="n"/>
    </row>
    <row r="31">
      <c r="A31" s="14" t="inlineStr">
        <is>
          <t>Price book</t>
        </is>
      </c>
      <c r="B31" s="5" t="inlineStr">
        <is>
          <t>Finish nail gun</t>
        </is>
      </c>
      <c r="C31" s="5" t="inlineStr">
        <is>
          <t>Finish nail gun</t>
        </is>
      </c>
      <c r="D31" s="6" t="n">
        <v>80</v>
      </c>
      <c r="E31" s="7" t="n"/>
      <c r="F31" s="6">
        <f>IF(E31="","",E31-D31)</f>
        <v/>
      </c>
      <c r="G31" s="5" t="inlineStr">
        <is>
          <t>normal</t>
        </is>
      </c>
      <c r="H31" s="5" t="inlineStr">
        <is>
          <t>ships</t>
        </is>
      </c>
      <c r="I31" s="8" t="n"/>
    </row>
    <row r="32">
      <c r="A32" s="14" t="inlineStr">
        <is>
          <t>Price book</t>
        </is>
      </c>
      <c r="B32" s="5" t="inlineStr">
        <is>
          <t>Tile saw</t>
        </is>
      </c>
      <c r="C32" s="5" t="inlineStr">
        <is>
          <t>Tile saw</t>
        </is>
      </c>
      <c r="D32" s="6" t="n">
        <v>120</v>
      </c>
      <c r="E32" s="7" t="n"/>
      <c r="F32" s="6">
        <f>IF(E32="","",E32-D32)</f>
        <v/>
      </c>
      <c r="G32" s="5" t="inlineStr">
        <is>
          <t>slow</t>
        </is>
      </c>
      <c r="H32" s="5" t="inlineStr">
        <is>
          <t>ships</t>
        </is>
      </c>
      <c r="I32" s="8" t="n"/>
    </row>
    <row r="33">
      <c r="A33" s="14" t="inlineStr">
        <is>
          <t>Price book</t>
        </is>
      </c>
      <c r="B33" s="5" t="inlineStr">
        <is>
          <t>Concrete mixer</t>
        </is>
      </c>
      <c r="C33" s="5" t="inlineStr">
        <is>
          <t>Concrete mixer</t>
        </is>
      </c>
      <c r="D33" s="6" t="n">
        <v>250</v>
      </c>
      <c r="E33" s="7" t="n"/>
      <c r="F33" s="6">
        <f>IF(E33="","",E33-D33)</f>
        <v/>
      </c>
      <c r="G33" s="5" t="inlineStr">
        <is>
          <t>slow</t>
        </is>
      </c>
      <c r="H33" s="15" t="inlineStr">
        <is>
          <t>local only</t>
        </is>
      </c>
      <c r="I33" s="8" t="n"/>
    </row>
    <row r="34">
      <c r="A34" s="14" t="inlineStr">
        <is>
          <t>Price book</t>
        </is>
      </c>
      <c r="B34" s="5" t="inlineStr">
        <is>
          <t>Stick welder</t>
        </is>
      </c>
      <c r="C34" s="5" t="inlineStr">
        <is>
          <t>Stick welder</t>
        </is>
      </c>
      <c r="D34" s="6" t="n">
        <v>180</v>
      </c>
      <c r="E34" s="7" t="n"/>
      <c r="F34" s="6">
        <f>IF(E34="","",E34-D34)</f>
        <v/>
      </c>
      <c r="G34" s="5" t="inlineStr">
        <is>
          <t>normal</t>
        </is>
      </c>
      <c r="H34" s="5" t="inlineStr">
        <is>
          <t>ships</t>
        </is>
      </c>
      <c r="I34" s="8" t="n"/>
    </row>
    <row r="35">
      <c r="A35" s="14" t="inlineStr">
        <is>
          <t>Price book</t>
        </is>
      </c>
      <c r="B35" s="5" t="inlineStr">
        <is>
          <t>Plasma cutter</t>
        </is>
      </c>
      <c r="C35" s="5" t="inlineStr">
        <is>
          <t>Plasma cutter</t>
        </is>
      </c>
      <c r="D35" s="6" t="n">
        <v>300</v>
      </c>
      <c r="E35" s="7" t="n"/>
      <c r="F35" s="6">
        <f>IF(E35="","",E35-D35)</f>
        <v/>
      </c>
      <c r="G35" s="5" t="inlineStr">
        <is>
          <t>normal</t>
        </is>
      </c>
      <c r="H35" s="5" t="inlineStr">
        <is>
          <t>ships</t>
        </is>
      </c>
      <c r="I35" s="8" t="n"/>
    </row>
    <row r="36">
      <c r="A36" s="14" t="inlineStr">
        <is>
          <t>Price book</t>
        </is>
      </c>
      <c r="B36" s="5" t="inlineStr">
        <is>
          <t>Oxy-acetylene torch set</t>
        </is>
      </c>
      <c r="C36" s="5" t="inlineStr">
        <is>
          <t>Oxy-acetylene torch set</t>
        </is>
      </c>
      <c r="D36" s="6" t="n">
        <v>150</v>
      </c>
      <c r="E36" s="7" t="n"/>
      <c r="F36" s="6">
        <f>IF(E36="","",E36-D36)</f>
        <v/>
      </c>
      <c r="G36" s="5" t="inlineStr">
        <is>
          <t>normal</t>
        </is>
      </c>
      <c r="H36" s="5" t="inlineStr">
        <is>
          <t>ships</t>
        </is>
      </c>
      <c r="I36" s="8" t="n"/>
    </row>
    <row r="37">
      <c r="A37" s="14" t="inlineStr">
        <is>
          <t>Price book</t>
        </is>
      </c>
      <c r="B37" s="5" t="inlineStr">
        <is>
          <t>Sewing machine</t>
        </is>
      </c>
      <c r="C37" s="5" t="inlineStr">
        <is>
          <t>Sewing machine</t>
        </is>
      </c>
      <c r="D37" s="6" t="n">
        <v>60</v>
      </c>
      <c r="E37" s="7" t="n"/>
      <c r="F37" s="6">
        <f>IF(E37="","",E37-D37)</f>
        <v/>
      </c>
      <c r="G37" s="5" t="inlineStr">
        <is>
          <t>slow</t>
        </is>
      </c>
      <c r="H37" s="5" t="inlineStr">
        <is>
          <t>ships</t>
        </is>
      </c>
      <c r="I37" s="8" t="n"/>
    </row>
    <row r="38">
      <c r="A38" s="14" t="inlineStr">
        <is>
          <t>Price book</t>
        </is>
      </c>
      <c r="B38" s="5" t="inlineStr">
        <is>
          <t>Stand mixer — KitchenAid class</t>
        </is>
      </c>
      <c r="C38" s="5" t="inlineStr">
        <is>
          <t>Stand mixer — KitchenAid class</t>
        </is>
      </c>
      <c r="D38" s="6" t="n">
        <v>120</v>
      </c>
      <c r="E38" s="7" t="n"/>
      <c r="F38" s="6">
        <f>IF(E38="","",E38-D38)</f>
        <v/>
      </c>
      <c r="G38" s="5" t="inlineStr">
        <is>
          <t>fast</t>
        </is>
      </c>
      <c r="H38" s="5" t="inlineStr">
        <is>
          <t>ships</t>
        </is>
      </c>
      <c r="I38" s="8" t="n"/>
    </row>
    <row r="39">
      <c r="A39" s="14" t="inlineStr">
        <is>
          <t>Price book</t>
        </is>
      </c>
      <c r="B39" s="5" t="inlineStr">
        <is>
          <t>Paint sprayer — airless</t>
        </is>
      </c>
      <c r="C39" s="5" t="inlineStr">
        <is>
          <t>Paint sprayer — airless</t>
        </is>
      </c>
      <c r="D39" s="6" t="n">
        <v>180</v>
      </c>
      <c r="E39" s="7" t="n"/>
      <c r="F39" s="6">
        <f>IF(E39="","",E39-D39)</f>
        <v/>
      </c>
      <c r="G39" s="5" t="inlineStr">
        <is>
          <t>normal</t>
        </is>
      </c>
      <c r="H39" s="5" t="inlineStr">
        <is>
          <t>ships</t>
        </is>
      </c>
      <c r="I39" s="8" t="n"/>
    </row>
    <row r="40">
      <c r="A40" s="14" t="inlineStr">
        <is>
          <t>Price book</t>
        </is>
      </c>
      <c r="B40" s="5" t="inlineStr">
        <is>
          <t>Laser level</t>
        </is>
      </c>
      <c r="C40" s="5" t="inlineStr">
        <is>
          <t>Laser level</t>
        </is>
      </c>
      <c r="D40" s="6" t="n">
        <v>90</v>
      </c>
      <c r="E40" s="7" t="n"/>
      <c r="F40" s="6">
        <f>IF(E40="","",E40-D40)</f>
        <v/>
      </c>
      <c r="G40" s="5" t="inlineStr">
        <is>
          <t>normal</t>
        </is>
      </c>
      <c r="H40" s="5" t="inlineStr">
        <is>
          <t>ships</t>
        </is>
      </c>
      <c r="I40" s="8" t="n"/>
    </row>
    <row r="41">
      <c r="A41" s="14" t="inlineStr">
        <is>
          <t>Price book</t>
        </is>
      </c>
      <c r="B41" s="5" t="inlineStr">
        <is>
          <t>OBD scan tool</t>
        </is>
      </c>
      <c r="C41" s="5" t="inlineStr">
        <is>
          <t>OBD scan tool</t>
        </is>
      </c>
      <c r="D41" s="6" t="n">
        <v>50</v>
      </c>
      <c r="E41" s="7" t="n"/>
      <c r="F41" s="6">
        <f>IF(E41="","",E41-D41)</f>
        <v/>
      </c>
      <c r="G41" s="5" t="inlineStr">
        <is>
          <t>fast</t>
        </is>
      </c>
      <c r="H41" s="5" t="inlineStr">
        <is>
          <t>ships</t>
        </is>
      </c>
      <c r="I41" s="8" t="n"/>
    </row>
    <row r="42">
      <c r="A42" s="14" t="inlineStr">
        <is>
          <t>Price book</t>
        </is>
      </c>
      <c r="B42" s="5" t="inlineStr">
        <is>
          <t>Scaffolding — section</t>
        </is>
      </c>
      <c r="C42" s="5" t="inlineStr">
        <is>
          <t>Scaffolding — section</t>
        </is>
      </c>
      <c r="D42" s="6" t="n">
        <v>80</v>
      </c>
      <c r="E42" s="7" t="n"/>
      <c r="F42" s="6">
        <f>IF(E42="","",E42-D42)</f>
        <v/>
      </c>
      <c r="G42" s="5" t="inlineStr">
        <is>
          <t>slow</t>
        </is>
      </c>
      <c r="H42" s="15" t="inlineStr">
        <is>
          <t>local only</t>
        </is>
      </c>
      <c r="I42" s="8" t="n"/>
    </row>
    <row r="43">
      <c r="A43" s="14" t="inlineStr">
        <is>
          <t>Price book</t>
        </is>
      </c>
      <c r="B43" s="5" t="inlineStr">
        <is>
          <t>Wheelbarrow</t>
        </is>
      </c>
      <c r="C43" s="5" t="inlineStr">
        <is>
          <t>Wheelbarrow</t>
        </is>
      </c>
      <c r="D43" s="6" t="n">
        <v>35</v>
      </c>
      <c r="E43" s="7" t="n"/>
      <c r="F43" s="6">
        <f>IF(E43="","",E43-D43)</f>
        <v/>
      </c>
      <c r="G43" s="5" t="inlineStr">
        <is>
          <t>normal</t>
        </is>
      </c>
      <c r="H43" s="15" t="inlineStr">
        <is>
          <t>local only</t>
        </is>
      </c>
      <c r="I43" s="8" t="n"/>
    </row>
    <row r="44">
      <c r="A44" s="14" t="inlineStr">
        <is>
          <t>Price book</t>
        </is>
      </c>
      <c r="B44" s="5" t="inlineStr">
        <is>
          <t>Mechanic's creeper</t>
        </is>
      </c>
      <c r="C44" s="5" t="inlineStr">
        <is>
          <t>Mechanic's creeper</t>
        </is>
      </c>
      <c r="D44" s="6" t="n">
        <v>20</v>
      </c>
      <c r="E44" s="7" t="n"/>
      <c r="F44" s="6">
        <f>IF(E44="","",E44-D44)</f>
        <v/>
      </c>
      <c r="G44" s="5" t="inlineStr">
        <is>
          <t>fast</t>
        </is>
      </c>
      <c r="H44" s="5" t="inlineStr">
        <is>
          <t>ships</t>
        </is>
      </c>
      <c r="I44" s="8" t="n"/>
    </row>
    <row r="45">
      <c r="A45" s="14" t="inlineStr">
        <is>
          <t>Price book</t>
        </is>
      </c>
      <c r="B45" s="5" t="inlineStr">
        <is>
          <t>Drywall lift</t>
        </is>
      </c>
      <c r="C45" s="5" t="inlineStr">
        <is>
          <t>Drywall lift</t>
        </is>
      </c>
      <c r="D45" s="6" t="n">
        <v>120</v>
      </c>
      <c r="E45" s="7" t="n"/>
      <c r="F45" s="6">
        <f>IF(E45="","",E45-D45)</f>
        <v/>
      </c>
      <c r="G45" s="5" t="inlineStr">
        <is>
          <t>slow</t>
        </is>
      </c>
      <c r="H45" s="15" t="inlineStr">
        <is>
          <t>local only</t>
        </is>
      </c>
      <c r="I45" s="8" t="n"/>
    </row>
    <row r="46">
      <c r="A46" s="14" t="inlineStr">
        <is>
          <t>Price book</t>
        </is>
      </c>
      <c r="B46" s="5" t="inlineStr">
        <is>
          <t>Battery charger / jump box</t>
        </is>
      </c>
      <c r="C46" s="5" t="inlineStr">
        <is>
          <t>Battery charger / jump box</t>
        </is>
      </c>
      <c r="D46" s="6" t="n">
        <v>40</v>
      </c>
      <c r="E46" s="7" t="n"/>
      <c r="F46" s="6">
        <f>IF(E46="","",E46-D46)</f>
        <v/>
      </c>
      <c r="G46" s="5" t="inlineStr">
        <is>
          <t>fast</t>
        </is>
      </c>
      <c r="H46" s="5" t="inlineStr">
        <is>
          <t>ships</t>
        </is>
      </c>
      <c r="I46" s="8" t="n"/>
    </row>
    <row r="47">
      <c r="A47" s="14" t="inlineStr">
        <is>
          <t>Price book</t>
        </is>
      </c>
      <c r="B47" s="5" t="inlineStr">
        <is>
          <t>Grease gun</t>
        </is>
      </c>
      <c r="C47" s="5" t="inlineStr">
        <is>
          <t>Grease gun</t>
        </is>
      </c>
      <c r="D47" s="6" t="n">
        <v>25</v>
      </c>
      <c r="E47" s="7" t="n"/>
      <c r="F47" s="6">
        <f>IF(E47="","",E47-D47)</f>
        <v/>
      </c>
      <c r="G47" s="5" t="inlineStr">
        <is>
          <t>normal</t>
        </is>
      </c>
      <c r="H47" s="5" t="inlineStr">
        <is>
          <t>ships</t>
        </is>
      </c>
      <c r="I47" s="8" t="n"/>
    </row>
    <row r="48">
      <c r="A48" s="14" t="inlineStr">
        <is>
          <t>Price book</t>
        </is>
      </c>
      <c r="B48" s="5" t="inlineStr">
        <is>
          <t>Wet tile saw</t>
        </is>
      </c>
      <c r="C48" s="5" t="inlineStr">
        <is>
          <t>Wet tile saw</t>
        </is>
      </c>
      <c r="D48" s="6" t="n">
        <v>100</v>
      </c>
      <c r="E48" s="7" t="n"/>
      <c r="F48" s="6">
        <f>IF(E48="","",E48-D48)</f>
        <v/>
      </c>
      <c r="G48" s="5" t="inlineStr">
        <is>
          <t>slow</t>
        </is>
      </c>
      <c r="H48" s="5" t="inlineStr">
        <is>
          <t>ships</t>
        </is>
      </c>
      <c r="I48" s="8" t="n"/>
    </row>
    <row r="50">
      <c r="C50" s="2" t="inlineStr">
        <is>
          <t>Rows on this sheet</t>
        </is>
      </c>
      <c r="D50" s="2">
        <f>COUNTA(C3:C48)</f>
        <v/>
      </c>
    </row>
    <row r="51">
      <c r="C51" s="2" t="inlineStr">
        <is>
          <t>Ones you changed</t>
        </is>
      </c>
      <c r="D51" s="2">
        <f>COUNT(E3:E48)</f>
        <v/>
      </c>
    </row>
    <row r="53">
      <c r="A53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Hunting &amp; fishing</t>
        </is>
      </c>
      <c r="D1" s="9" t="inlineStr">
        <is>
          <t>suggested loan: 40%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h1</t>
        </is>
      </c>
      <c r="C3" s="5" t="inlineStr">
        <is>
          <t>Rifle scope</t>
        </is>
      </c>
      <c r="D3" s="6" t="n">
        <v>120</v>
      </c>
      <c r="E3" s="7" t="n"/>
      <c r="F3" s="6">
        <f>IF(E3="","",E3-D3)</f>
        <v/>
      </c>
      <c r="G3" s="5" t="inlineStr">
        <is>
          <t>fast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h2</t>
        </is>
      </c>
      <c r="C4" s="5" t="inlineStr">
        <is>
          <t>Binoculars</t>
        </is>
      </c>
      <c r="D4" s="6" t="n">
        <v>70</v>
      </c>
      <c r="E4" s="7" t="n"/>
      <c r="F4" s="6">
        <f>IF(E4="","",E4-D4)</f>
        <v/>
      </c>
      <c r="G4" s="5" t="inlineStr">
        <is>
          <t>normal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h3</t>
        </is>
      </c>
      <c r="C5" s="5" t="inlineStr">
        <is>
          <t>Rangefinder</t>
        </is>
      </c>
      <c r="D5" s="6" t="n">
        <v>110</v>
      </c>
      <c r="E5" s="7" t="n"/>
      <c r="F5" s="6">
        <f>IF(E5="","",E5-D5)</f>
        <v/>
      </c>
      <c r="G5" s="5" t="inlineStr">
        <is>
          <t>normal</t>
        </is>
      </c>
      <c r="H5" s="5" t="inlineStr">
        <is>
          <t>ships</t>
        </is>
      </c>
      <c r="I5" s="8" t="n"/>
    </row>
    <row r="6">
      <c r="A6" s="14" t="inlineStr">
        <is>
          <t>List item</t>
        </is>
      </c>
      <c r="B6" s="5" t="inlineStr">
        <is>
          <t>h4</t>
        </is>
      </c>
      <c r="C6" s="5" t="inlineStr">
        <is>
          <t>Trail camera</t>
        </is>
      </c>
      <c r="D6" s="6" t="n">
        <v>45</v>
      </c>
      <c r="E6" s="7" t="n"/>
      <c r="F6" s="6">
        <f>IF(E6="","",E6-D6)</f>
        <v/>
      </c>
      <c r="G6" s="5" t="inlineStr">
        <is>
          <t>fast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h5</t>
        </is>
      </c>
      <c r="C7" s="5" t="inlineStr">
        <is>
          <t>Compound bow</t>
        </is>
      </c>
      <c r="D7" s="6" t="n">
        <v>200</v>
      </c>
      <c r="E7" s="7" t="n"/>
      <c r="F7" s="6">
        <f>IF(E7="","",E7-D7)</f>
        <v/>
      </c>
      <c r="G7" s="5" t="inlineStr">
        <is>
          <t>slow</t>
        </is>
      </c>
      <c r="H7" s="5" t="inlineStr">
        <is>
          <t>ships</t>
        </is>
      </c>
      <c r="I7" s="8" t="n"/>
    </row>
    <row r="8">
      <c r="A8" s="14" t="inlineStr">
        <is>
          <t>List item</t>
        </is>
      </c>
      <c r="B8" s="5" t="inlineStr">
        <is>
          <t>h6</t>
        </is>
      </c>
      <c r="C8" s="5" t="inlineStr">
        <is>
          <t>Crossbow</t>
        </is>
      </c>
      <c r="D8" s="6" t="n">
        <v>250</v>
      </c>
      <c r="E8" s="7" t="n"/>
      <c r="F8" s="6">
        <f>IF(E8="","",E8-D8)</f>
        <v/>
      </c>
      <c r="G8" s="5" t="inlineStr">
        <is>
          <t>normal</t>
        </is>
      </c>
      <c r="H8" s="5" t="inlineStr">
        <is>
          <t>ships</t>
        </is>
      </c>
      <c r="I8" s="8" t="n"/>
    </row>
    <row r="9">
      <c r="A9" s="14" t="inlineStr">
        <is>
          <t>List item</t>
        </is>
      </c>
      <c r="B9" s="5" t="inlineStr">
        <is>
          <t>h7</t>
        </is>
      </c>
      <c r="C9" s="5" t="inlineStr">
        <is>
          <t>Rod &amp; reel combo</t>
        </is>
      </c>
      <c r="D9" s="6" t="n">
        <v>70</v>
      </c>
      <c r="E9" s="7" t="n"/>
      <c r="F9" s="6">
        <f>IF(E9="","",E9-D9)</f>
        <v/>
      </c>
      <c r="G9" s="5" t="inlineStr">
        <is>
          <t>fast</t>
        </is>
      </c>
      <c r="H9" s="5" t="inlineStr">
        <is>
          <t>ships</t>
        </is>
      </c>
      <c r="I9" s="8" t="n"/>
    </row>
    <row r="10">
      <c r="A10" s="14" t="inlineStr">
        <is>
          <t>List item</t>
        </is>
      </c>
      <c r="B10" s="5" t="inlineStr">
        <is>
          <t>h8</t>
        </is>
      </c>
      <c r="C10" s="5" t="inlineStr">
        <is>
          <t>Trolling motor</t>
        </is>
      </c>
      <c r="D10" s="6" t="n">
        <v>250</v>
      </c>
      <c r="E10" s="7" t="n"/>
      <c r="F10" s="6">
        <f>IF(E10="","",E10-D10)</f>
        <v/>
      </c>
      <c r="G10" s="5" t="inlineStr">
        <is>
          <t>normal</t>
        </is>
      </c>
      <c r="H10" s="5" t="inlineStr">
        <is>
          <t>ships</t>
        </is>
      </c>
      <c r="I10" s="8" t="n"/>
    </row>
    <row r="11">
      <c r="A11" s="14" t="inlineStr">
        <is>
          <t>List item</t>
        </is>
      </c>
      <c r="B11" s="5" t="inlineStr">
        <is>
          <t>h9</t>
        </is>
      </c>
      <c r="C11" s="5" t="inlineStr">
        <is>
          <t>Outboard — 9.9 to 25hp</t>
        </is>
      </c>
      <c r="D11" s="6" t="n">
        <v>900</v>
      </c>
      <c r="E11" s="7" t="n"/>
      <c r="F11" s="6">
        <f>IF(E11="","",E11-D11)</f>
        <v/>
      </c>
      <c r="G11" s="5" t="inlineStr">
        <is>
          <t>slow</t>
        </is>
      </c>
      <c r="H11" s="15" t="inlineStr">
        <is>
          <t>local only</t>
        </is>
      </c>
      <c r="I11" s="8" t="n"/>
    </row>
    <row r="12">
      <c r="A12" s="14" t="inlineStr">
        <is>
          <t>Price book</t>
        </is>
      </c>
      <c r="B12" s="5" t="inlineStr">
        <is>
          <t>Climbing tree stand</t>
        </is>
      </c>
      <c r="C12" s="5" t="inlineStr">
        <is>
          <t>Climbing tree stand</t>
        </is>
      </c>
      <c r="D12" s="6" t="n">
        <v>90</v>
      </c>
      <c r="E12" s="7" t="n"/>
      <c r="F12" s="6">
        <f>IF(E12="","",E12-D12)</f>
        <v/>
      </c>
      <c r="G12" s="5" t="inlineStr">
        <is>
          <t>normal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Ladder stand</t>
        </is>
      </c>
      <c r="C13" s="5" t="inlineStr">
        <is>
          <t>Ladder stand</t>
        </is>
      </c>
      <c r="D13" s="6" t="n">
        <v>70</v>
      </c>
      <c r="E13" s="7" t="n"/>
      <c r="F13" s="6">
        <f>IF(E13="","",E13-D13)</f>
        <v/>
      </c>
      <c r="G13" s="5" t="inlineStr">
        <is>
          <t>slow</t>
        </is>
      </c>
      <c r="H13" s="15" t="inlineStr">
        <is>
          <t>local only</t>
        </is>
      </c>
      <c r="I13" s="8" t="n"/>
    </row>
    <row r="14">
      <c r="A14" s="14" t="inlineStr">
        <is>
          <t>Price book</t>
        </is>
      </c>
      <c r="B14" s="5" t="inlineStr">
        <is>
          <t>Ground blind</t>
        </is>
      </c>
      <c r="C14" s="5" t="inlineStr">
        <is>
          <t>Ground blind</t>
        </is>
      </c>
      <c r="D14" s="6" t="n">
        <v>60</v>
      </c>
      <c r="E14" s="7" t="n"/>
      <c r="F14" s="6">
        <f>IF(E14="","",E14-D14)</f>
        <v/>
      </c>
      <c r="G14" s="5" t="inlineStr">
        <is>
          <t>normal</t>
        </is>
      </c>
      <c r="H14" s="5" t="inlineStr">
        <is>
          <t>ships</t>
        </is>
      </c>
      <c r="I14" s="8" t="n"/>
    </row>
    <row r="15">
      <c r="A15" s="14" t="inlineStr">
        <is>
          <t>Price book</t>
        </is>
      </c>
      <c r="B15" s="5" t="inlineStr">
        <is>
          <t>Deer feeder — barrel</t>
        </is>
      </c>
      <c r="C15" s="5" t="inlineStr">
        <is>
          <t>Deer feeder — barrel</t>
        </is>
      </c>
      <c r="D15" s="6" t="n">
        <v>60</v>
      </c>
      <c r="E15" s="7" t="n"/>
      <c r="F15" s="6">
        <f>IF(E15="","",E15-D15)</f>
        <v/>
      </c>
      <c r="G15" s="5" t="inlineStr">
        <is>
          <t>fast</t>
        </is>
      </c>
      <c r="H15" s="5" t="inlineStr">
        <is>
          <t>ships</t>
        </is>
      </c>
      <c r="I15" s="8" t="n"/>
    </row>
    <row r="16">
      <c r="A16" s="14" t="inlineStr">
        <is>
          <t>Price book</t>
        </is>
      </c>
      <c r="B16" s="5" t="inlineStr">
        <is>
          <t>Cellular game camera</t>
        </is>
      </c>
      <c r="C16" s="5" t="inlineStr">
        <is>
          <t>Cellular game camera</t>
        </is>
      </c>
      <c r="D16" s="6" t="n">
        <v>70</v>
      </c>
      <c r="E16" s="7" t="n"/>
      <c r="F16" s="6">
        <f>IF(E16="","",E16-D16)</f>
        <v/>
      </c>
      <c r="G16" s="5" t="inlineStr">
        <is>
          <t>fast</t>
        </is>
      </c>
      <c r="H16" s="5" t="inlineStr">
        <is>
          <t>ships</t>
        </is>
      </c>
      <c r="I16" s="8" t="n"/>
    </row>
    <row r="17">
      <c r="A17" s="14" t="inlineStr">
        <is>
          <t>Price book</t>
        </is>
      </c>
      <c r="B17" s="5" t="inlineStr">
        <is>
          <t>Duck decoys — dozen</t>
        </is>
      </c>
      <c r="C17" s="5" t="inlineStr">
        <is>
          <t>Duck decoys — dozen</t>
        </is>
      </c>
      <c r="D17" s="6" t="n">
        <v>40</v>
      </c>
      <c r="E17" s="7" t="n"/>
      <c r="F17" s="6">
        <f>IF(E17="","",E17-D17)</f>
        <v/>
      </c>
      <c r="G17" s="5" t="inlineStr">
        <is>
          <t>normal</t>
        </is>
      </c>
      <c r="H17" s="5" t="inlineStr">
        <is>
          <t>ships</t>
        </is>
      </c>
      <c r="I17" s="8" t="n"/>
    </row>
    <row r="18">
      <c r="A18" s="14" t="inlineStr">
        <is>
          <t>Price book</t>
        </is>
      </c>
      <c r="B18" s="5" t="inlineStr">
        <is>
          <t>Kayak — sit-on-top</t>
        </is>
      </c>
      <c r="C18" s="5" t="inlineStr">
        <is>
          <t>Kayak — sit-on-top</t>
        </is>
      </c>
      <c r="D18" s="6" t="n">
        <v>300</v>
      </c>
      <c r="E18" s="7" t="n"/>
      <c r="F18" s="6">
        <f>IF(E18="","",E18-D18)</f>
        <v/>
      </c>
      <c r="G18" s="5" t="inlineStr">
        <is>
          <t>normal</t>
        </is>
      </c>
      <c r="H18" s="5" t="inlineStr">
        <is>
          <t>ships</t>
        </is>
      </c>
      <c r="I18" s="8" t="n"/>
    </row>
    <row r="19">
      <c r="A19" s="14" t="inlineStr">
        <is>
          <t>Price book</t>
        </is>
      </c>
      <c r="B19" s="5" t="inlineStr">
        <is>
          <t>Jon boat — 12ft, no motor</t>
        </is>
      </c>
      <c r="C19" s="5" t="inlineStr">
        <is>
          <t>Jon boat — 12ft, no motor</t>
        </is>
      </c>
      <c r="D19" s="6" t="n">
        <v>400</v>
      </c>
      <c r="E19" s="7" t="n"/>
      <c r="F19" s="6">
        <f>IF(E19="","",E19-D19)</f>
        <v/>
      </c>
      <c r="G19" s="5" t="inlineStr">
        <is>
          <t>slow</t>
        </is>
      </c>
      <c r="H19" s="15" t="inlineStr">
        <is>
          <t>local only</t>
        </is>
      </c>
      <c r="I19" s="8" t="n"/>
    </row>
    <row r="20">
      <c r="A20" s="14" t="inlineStr">
        <is>
          <t>Price book</t>
        </is>
      </c>
      <c r="B20" s="5" t="inlineStr">
        <is>
          <t>Boat trailer</t>
        </is>
      </c>
      <c r="C20" s="5" t="inlineStr">
        <is>
          <t>Boat trailer</t>
        </is>
      </c>
      <c r="D20" s="6" t="n">
        <v>800</v>
      </c>
      <c r="E20" s="7" t="n"/>
      <c r="F20" s="6">
        <f>IF(E20="","",E20-D20)</f>
        <v/>
      </c>
      <c r="G20" s="5" t="inlineStr">
        <is>
          <t>slow</t>
        </is>
      </c>
      <c r="H20" s="15" t="inlineStr">
        <is>
          <t>local only</t>
        </is>
      </c>
      <c r="I20" s="8" t="n"/>
    </row>
    <row r="21">
      <c r="A21" s="14" t="inlineStr">
        <is>
          <t>Price book</t>
        </is>
      </c>
      <c r="B21" s="5" t="inlineStr">
        <is>
          <t>Cast net</t>
        </is>
      </c>
      <c r="C21" s="5" t="inlineStr">
        <is>
          <t>Cast net</t>
        </is>
      </c>
      <c r="D21" s="6" t="n">
        <v>25</v>
      </c>
      <c r="E21" s="7" t="n"/>
      <c r="F21" s="6">
        <f>IF(E21="","",E21-D21)</f>
        <v/>
      </c>
      <c r="G21" s="5" t="inlineStr">
        <is>
          <t>fast</t>
        </is>
      </c>
      <c r="H21" s="5" t="inlineStr">
        <is>
          <t>ships</t>
        </is>
      </c>
      <c r="I21" s="8" t="n"/>
    </row>
    <row r="22">
      <c r="A22" s="14" t="inlineStr">
        <is>
          <t>Price book</t>
        </is>
      </c>
      <c r="B22" s="5" t="inlineStr">
        <is>
          <t>Fish finder</t>
        </is>
      </c>
      <c r="C22" s="5" t="inlineStr">
        <is>
          <t>Fish finder</t>
        </is>
      </c>
      <c r="D22" s="6" t="n">
        <v>120</v>
      </c>
      <c r="E22" s="7" t="n"/>
      <c r="F22" s="6">
        <f>IF(E22="","",E22-D22)</f>
        <v/>
      </c>
      <c r="G22" s="5" t="inlineStr">
        <is>
          <t>normal</t>
        </is>
      </c>
      <c r="H22" s="5" t="inlineStr">
        <is>
          <t>ships</t>
        </is>
      </c>
      <c r="I22" s="8" t="n"/>
    </row>
    <row r="23">
      <c r="A23" s="14" t="inlineStr">
        <is>
          <t>Price book</t>
        </is>
      </c>
      <c r="B23" s="5" t="inlineStr">
        <is>
          <t>Offshore rod &amp; reel</t>
        </is>
      </c>
      <c r="C23" s="5" t="inlineStr">
        <is>
          <t>Offshore rod &amp; reel</t>
        </is>
      </c>
      <c r="D23" s="6" t="n">
        <v>90</v>
      </c>
      <c r="E23" s="7" t="n"/>
      <c r="F23" s="6">
        <f>IF(E23="","",E23-D23)</f>
        <v/>
      </c>
      <c r="G23" s="5" t="inlineStr">
        <is>
          <t>normal</t>
        </is>
      </c>
      <c r="H23" s="5" t="inlineStr">
        <is>
          <t>ships</t>
        </is>
      </c>
      <c r="I23" s="8" t="n"/>
    </row>
    <row r="24">
      <c r="A24" s="14" t="inlineStr">
        <is>
          <t>Price book</t>
        </is>
      </c>
      <c r="B24" s="5" t="inlineStr">
        <is>
          <t>Fly rod &amp; reel</t>
        </is>
      </c>
      <c r="C24" s="5" t="inlineStr">
        <is>
          <t>Fly rod &amp; reel</t>
        </is>
      </c>
      <c r="D24" s="6" t="n">
        <v>80</v>
      </c>
      <c r="E24" s="7" t="n"/>
      <c r="F24" s="6">
        <f>IF(E24="","",E24-D24)</f>
        <v/>
      </c>
      <c r="G24" s="5" t="inlineStr">
        <is>
          <t>slow</t>
        </is>
      </c>
      <c r="H24" s="5" t="inlineStr">
        <is>
          <t>ships</t>
        </is>
      </c>
      <c r="I24" s="8" t="n"/>
    </row>
    <row r="25">
      <c r="A25" s="14" t="inlineStr">
        <is>
          <t>Price book</t>
        </is>
      </c>
      <c r="B25" s="5" t="inlineStr">
        <is>
          <t>Hard gun case</t>
        </is>
      </c>
      <c r="C25" s="5" t="inlineStr">
        <is>
          <t>Hard gun case</t>
        </is>
      </c>
      <c r="D25" s="6" t="n">
        <v>25</v>
      </c>
      <c r="E25" s="7" t="n"/>
      <c r="F25" s="6">
        <f>IF(E25="","",E25-D25)</f>
        <v/>
      </c>
      <c r="G25" s="5" t="inlineStr">
        <is>
          <t>fast</t>
        </is>
      </c>
      <c r="H25" s="5" t="inlineStr">
        <is>
          <t>ships</t>
        </is>
      </c>
      <c r="I25" s="8" t="n"/>
    </row>
    <row r="26">
      <c r="A26" s="14" t="inlineStr">
        <is>
          <t>Price book</t>
        </is>
      </c>
      <c r="B26" s="5" t="inlineStr">
        <is>
          <t>Waders</t>
        </is>
      </c>
      <c r="C26" s="5" t="inlineStr">
        <is>
          <t>Waders</t>
        </is>
      </c>
      <c r="D26" s="6" t="n">
        <v>40</v>
      </c>
      <c r="E26" s="7" t="n"/>
      <c r="F26" s="6">
        <f>IF(E26="","",E26-D26)</f>
        <v/>
      </c>
      <c r="G26" s="5" t="inlineStr">
        <is>
          <t>normal</t>
        </is>
      </c>
      <c r="H26" s="5" t="inlineStr">
        <is>
          <t>ships</t>
        </is>
      </c>
      <c r="I26" s="8" t="n"/>
    </row>
    <row r="27">
      <c r="A27" s="14" t="inlineStr">
        <is>
          <t>Price book</t>
        </is>
      </c>
      <c r="B27" s="5" t="inlineStr">
        <is>
          <t>Spotting scope</t>
        </is>
      </c>
      <c r="C27" s="5" t="inlineStr">
        <is>
          <t>Spotting scope</t>
        </is>
      </c>
      <c r="D27" s="6" t="n">
        <v>130</v>
      </c>
      <c r="E27" s="7" t="n"/>
      <c r="F27" s="6">
        <f>IF(E27="","",E27-D27)</f>
        <v/>
      </c>
      <c r="G27" s="5" t="inlineStr">
        <is>
          <t>normal</t>
        </is>
      </c>
      <c r="H27" s="5" t="inlineStr">
        <is>
          <t>ships</t>
        </is>
      </c>
      <c r="I27" s="8" t="n"/>
    </row>
    <row r="28">
      <c r="A28" s="14" t="inlineStr">
        <is>
          <t>Price book</t>
        </is>
      </c>
      <c r="B28" s="5" t="inlineStr">
        <is>
          <t>Red dot sight</t>
        </is>
      </c>
      <c r="C28" s="5" t="inlineStr">
        <is>
          <t>Red dot sight</t>
        </is>
      </c>
      <c r="D28" s="6" t="n">
        <v>70</v>
      </c>
      <c r="E28" s="7" t="n"/>
      <c r="F28" s="6">
        <f>IF(E28="","",E28-D28)</f>
        <v/>
      </c>
      <c r="G28" s="5" t="inlineStr">
        <is>
          <t>fast</t>
        </is>
      </c>
      <c r="H28" s="5" t="inlineStr">
        <is>
          <t>ships</t>
        </is>
      </c>
      <c r="I28" s="8" t="n"/>
    </row>
    <row r="29">
      <c r="A29" s="14" t="inlineStr">
        <is>
          <t>Price book</t>
        </is>
      </c>
      <c r="B29" s="5" t="inlineStr">
        <is>
          <t>Crossbow bolts &amp; broadheads — lot</t>
        </is>
      </c>
      <c r="C29" s="5" t="inlineStr">
        <is>
          <t>Crossbow bolts &amp; broadheads — lot</t>
        </is>
      </c>
      <c r="D29" s="6" t="n">
        <v>25</v>
      </c>
      <c r="E29" s="7" t="n"/>
      <c r="F29" s="6">
        <f>IF(E29="","",E29-D29)</f>
        <v/>
      </c>
      <c r="G29" s="5" t="inlineStr">
        <is>
          <t>fast</t>
        </is>
      </c>
      <c r="H29" s="5" t="inlineStr">
        <is>
          <t>ships</t>
        </is>
      </c>
      <c r="I29" s="8" t="n"/>
    </row>
    <row r="30">
      <c r="A30" s="14" t="inlineStr">
        <is>
          <t>Price book</t>
        </is>
      </c>
      <c r="B30" s="5" t="inlineStr">
        <is>
          <t>Camp stove</t>
        </is>
      </c>
      <c r="C30" s="5" t="inlineStr">
        <is>
          <t>Camp stove</t>
        </is>
      </c>
      <c r="D30" s="6" t="n">
        <v>30</v>
      </c>
      <c r="E30" s="7" t="n"/>
      <c r="F30" s="6">
        <f>IF(E30="","",E30-D30)</f>
        <v/>
      </c>
      <c r="G30" s="5" t="inlineStr">
        <is>
          <t>normal</t>
        </is>
      </c>
      <c r="H30" s="5" t="inlineStr">
        <is>
          <t>ships</t>
        </is>
      </c>
      <c r="I30" s="8" t="n"/>
    </row>
    <row r="31">
      <c r="A31" s="14" t="inlineStr">
        <is>
          <t>Price book</t>
        </is>
      </c>
      <c r="B31" s="5" t="inlineStr">
        <is>
          <t>Tent — 4 to 6 person</t>
        </is>
      </c>
      <c r="C31" s="5" t="inlineStr">
        <is>
          <t>Tent — 4 to 6 person</t>
        </is>
      </c>
      <c r="D31" s="6" t="n">
        <v>40</v>
      </c>
      <c r="E31" s="7" t="n"/>
      <c r="F31" s="6">
        <f>IF(E31="","",E31-D31)</f>
        <v/>
      </c>
      <c r="G31" s="5" t="inlineStr">
        <is>
          <t>normal</t>
        </is>
      </c>
      <c r="H31" s="5" t="inlineStr">
        <is>
          <t>ships</t>
        </is>
      </c>
      <c r="I31" s="8" t="n"/>
    </row>
    <row r="32">
      <c r="A32" s="14" t="inlineStr">
        <is>
          <t>Price book</t>
        </is>
      </c>
      <c r="B32" s="5" t="inlineStr">
        <is>
          <t>Sleeping bag</t>
        </is>
      </c>
      <c r="C32" s="5" t="inlineStr">
        <is>
          <t>Sleeping bag</t>
        </is>
      </c>
      <c r="D32" s="6" t="n">
        <v>20</v>
      </c>
      <c r="E32" s="7" t="n"/>
      <c r="F32" s="6">
        <f>IF(E32="","",E32-D32)</f>
        <v/>
      </c>
      <c r="G32" s="5" t="inlineStr">
        <is>
          <t>normal</t>
        </is>
      </c>
      <c r="H32" s="5" t="inlineStr">
        <is>
          <t>ships</t>
        </is>
      </c>
      <c r="I32" s="8" t="n"/>
    </row>
    <row r="33">
      <c r="A33" s="14" t="inlineStr">
        <is>
          <t>Price book</t>
        </is>
      </c>
      <c r="B33" s="5" t="inlineStr">
        <is>
          <t>Hard cooler — Yeti class</t>
        </is>
      </c>
      <c r="C33" s="5" t="inlineStr">
        <is>
          <t>Hard cooler — Yeti class</t>
        </is>
      </c>
      <c r="D33" s="6" t="n">
        <v>200</v>
      </c>
      <c r="E33" s="7" t="n"/>
      <c r="F33" s="6">
        <f>IF(E33="","",E33-D33)</f>
        <v/>
      </c>
      <c r="G33" s="5" t="inlineStr">
        <is>
          <t>fast</t>
        </is>
      </c>
      <c r="H33" s="5" t="inlineStr">
        <is>
          <t>ships</t>
        </is>
      </c>
      <c r="I33" s="8" t="n"/>
    </row>
    <row r="34">
      <c r="A34" s="14" t="inlineStr">
        <is>
          <t>Price book</t>
        </is>
      </c>
      <c r="B34" s="5" t="inlineStr">
        <is>
          <t>Soft cooler / tote</t>
        </is>
      </c>
      <c r="C34" s="5" t="inlineStr">
        <is>
          <t>Soft cooler / tote</t>
        </is>
      </c>
      <c r="D34" s="6" t="n">
        <v>35</v>
      </c>
      <c r="E34" s="7" t="n"/>
      <c r="F34" s="6">
        <f>IF(E34="","",E34-D34)</f>
        <v/>
      </c>
      <c r="G34" s="5" t="inlineStr">
        <is>
          <t>normal</t>
        </is>
      </c>
      <c r="H34" s="5" t="inlineStr">
        <is>
          <t>ships</t>
        </is>
      </c>
      <c r="I34" s="8" t="n"/>
    </row>
    <row r="35">
      <c r="A35" s="14" t="inlineStr">
        <is>
          <t>Price book</t>
        </is>
      </c>
      <c r="B35" s="5" t="inlineStr">
        <is>
          <t>Camp chairs — pair</t>
        </is>
      </c>
      <c r="C35" s="5" t="inlineStr">
        <is>
          <t>Camp chairs — pair</t>
        </is>
      </c>
      <c r="D35" s="6" t="n">
        <v>20</v>
      </c>
      <c r="E35" s="7" t="n"/>
      <c r="F35" s="6">
        <f>IF(E35="","",E35-D35)</f>
        <v/>
      </c>
      <c r="G35" s="5" t="inlineStr">
        <is>
          <t>normal</t>
        </is>
      </c>
      <c r="H35" s="5" t="inlineStr">
        <is>
          <t>ships</t>
        </is>
      </c>
      <c r="I35" s="8" t="n"/>
    </row>
    <row r="36">
      <c r="A36" s="14" t="inlineStr">
        <is>
          <t>Price book</t>
        </is>
      </c>
      <c r="B36" s="5" t="inlineStr">
        <is>
          <t>Life jackets — set</t>
        </is>
      </c>
      <c r="C36" s="5" t="inlineStr">
        <is>
          <t>Life jackets — set</t>
        </is>
      </c>
      <c r="D36" s="6" t="n">
        <v>30</v>
      </c>
      <c r="E36" s="7" t="n"/>
      <c r="F36" s="6">
        <f>IF(E36="","",E36-D36)</f>
        <v/>
      </c>
      <c r="G36" s="5" t="inlineStr">
        <is>
          <t>normal</t>
        </is>
      </c>
      <c r="H36" s="5" t="inlineStr">
        <is>
          <t>ships</t>
        </is>
      </c>
      <c r="I36" s="8" t="n"/>
    </row>
    <row r="37">
      <c r="A37" s="14" t="inlineStr">
        <is>
          <t>Price book</t>
        </is>
      </c>
      <c r="B37" s="5" t="inlineStr">
        <is>
          <t>Boat anchor &amp; rode</t>
        </is>
      </c>
      <c r="C37" s="5" t="inlineStr">
        <is>
          <t>Boat anchor &amp; rode</t>
        </is>
      </c>
      <c r="D37" s="6" t="n">
        <v>30</v>
      </c>
      <c r="E37" s="7" t="n"/>
      <c r="F37" s="6">
        <f>IF(E37="","",E37-D37)</f>
        <v/>
      </c>
      <c r="G37" s="5" t="inlineStr">
        <is>
          <t>normal</t>
        </is>
      </c>
      <c r="H37" s="15" t="inlineStr">
        <is>
          <t>local only</t>
        </is>
      </c>
      <c r="I37" s="8" t="n"/>
    </row>
    <row r="39">
      <c r="C39" s="2" t="inlineStr">
        <is>
          <t>Rows on this sheet</t>
        </is>
      </c>
      <c r="D39" s="2">
        <f>COUNTA(C3:C37)</f>
        <v/>
      </c>
    </row>
    <row r="40">
      <c r="C40" s="2" t="inlineStr">
        <is>
          <t>Ones you changed</t>
        </is>
      </c>
      <c r="D40" s="2">
        <f>COUNT(E3:E37)</f>
        <v/>
      </c>
    </row>
    <row r="42">
      <c r="A42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Electronics</t>
        </is>
      </c>
      <c r="D1" s="9" t="inlineStr">
        <is>
          <t>suggested loan: 25%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e1</t>
        </is>
      </c>
      <c r="C3" s="5" t="inlineStr">
        <is>
          <t>TV — 50 to 65in smart</t>
        </is>
      </c>
      <c r="D3" s="6" t="n">
        <v>175</v>
      </c>
      <c r="E3" s="7" t="n"/>
      <c r="F3" s="6">
        <f>IF(E3="","",E3-D3)</f>
        <v/>
      </c>
      <c r="G3" s="5" t="inlineStr">
        <is>
          <t>normal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e2</t>
        </is>
      </c>
      <c r="C4" s="5" t="inlineStr">
        <is>
          <t>Laptop</t>
        </is>
      </c>
      <c r="D4" s="6" t="n">
        <v>175</v>
      </c>
      <c r="E4" s="7" t="n"/>
      <c r="F4" s="6">
        <f>IF(E4="","",E4-D4)</f>
        <v/>
      </c>
      <c r="G4" s="5" t="inlineStr">
        <is>
          <t>normal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e3</t>
        </is>
      </c>
      <c r="C5" s="5" t="inlineStr">
        <is>
          <t>Tablet</t>
        </is>
      </c>
      <c r="D5" s="6" t="n">
        <v>150</v>
      </c>
      <c r="E5" s="7" t="n"/>
      <c r="F5" s="6">
        <f>IF(E5="","",E5-D5)</f>
        <v/>
      </c>
      <c r="G5" s="5" t="inlineStr">
        <is>
          <t>normal</t>
        </is>
      </c>
      <c r="H5" s="5" t="inlineStr">
        <is>
          <t>ships</t>
        </is>
      </c>
      <c r="I5" s="8" t="n"/>
    </row>
    <row r="6">
      <c r="A6" s="14" t="inlineStr">
        <is>
          <t>List item</t>
        </is>
      </c>
      <c r="B6" s="5" t="inlineStr">
        <is>
          <t>e4</t>
        </is>
      </c>
      <c r="C6" s="5" t="inlineStr">
        <is>
          <t>Smartphone</t>
        </is>
      </c>
      <c r="D6" s="6" t="n">
        <v>200</v>
      </c>
      <c r="E6" s="7" t="n"/>
      <c r="F6" s="6">
        <f>IF(E6="","",E6-D6)</f>
        <v/>
      </c>
      <c r="G6" s="5" t="inlineStr">
        <is>
          <t>fast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e5</t>
        </is>
      </c>
      <c r="C7" s="5" t="inlineStr">
        <is>
          <t>Game console — current gen</t>
        </is>
      </c>
      <c r="D7" s="6" t="n">
        <v>225</v>
      </c>
      <c r="E7" s="7" t="n"/>
      <c r="F7" s="6">
        <f>IF(E7="","",E7-D7)</f>
        <v/>
      </c>
      <c r="G7" s="5" t="inlineStr">
        <is>
          <t>fast</t>
        </is>
      </c>
      <c r="H7" s="5" t="inlineStr">
        <is>
          <t>ships</t>
        </is>
      </c>
      <c r="I7" s="8" t="n"/>
    </row>
    <row r="8">
      <c r="A8" s="14" t="inlineStr">
        <is>
          <t>List item</t>
        </is>
      </c>
      <c r="B8" s="5" t="inlineStr">
        <is>
          <t>e6</t>
        </is>
      </c>
      <c r="C8" s="5" t="inlineStr">
        <is>
          <t>Bluetooth speaker</t>
        </is>
      </c>
      <c r="D8" s="6" t="n">
        <v>50</v>
      </c>
      <c r="E8" s="7" t="n"/>
      <c r="F8" s="6">
        <f>IF(E8="","",E8-D8)</f>
        <v/>
      </c>
      <c r="G8" s="5" t="inlineStr">
        <is>
          <t>normal</t>
        </is>
      </c>
      <c r="H8" s="5" t="inlineStr">
        <is>
          <t>ships</t>
        </is>
      </c>
      <c r="I8" s="8" t="n"/>
    </row>
    <row r="9">
      <c r="A9" s="14" t="inlineStr">
        <is>
          <t>List item</t>
        </is>
      </c>
      <c r="B9" s="5" t="inlineStr">
        <is>
          <t>e7</t>
        </is>
      </c>
      <c r="C9" s="5" t="inlineStr">
        <is>
          <t>Car audio — amp &amp; sub</t>
        </is>
      </c>
      <c r="D9" s="6" t="n">
        <v>80</v>
      </c>
      <c r="E9" s="7" t="n"/>
      <c r="F9" s="6">
        <f>IF(E9="","",E9-D9)</f>
        <v/>
      </c>
      <c r="G9" s="5" t="inlineStr">
        <is>
          <t>slow</t>
        </is>
      </c>
      <c r="H9" s="5" t="inlineStr">
        <is>
          <t>ships</t>
        </is>
      </c>
      <c r="I9" s="8" t="n"/>
    </row>
    <row r="10">
      <c r="A10" s="14" t="inlineStr">
        <is>
          <t>Price book</t>
        </is>
      </c>
      <c r="B10" s="5" t="inlineStr">
        <is>
          <t>Wireless earbuds</t>
        </is>
      </c>
      <c r="C10" s="5" t="inlineStr">
        <is>
          <t>Wireless earbuds</t>
        </is>
      </c>
      <c r="D10" s="6" t="n">
        <v>60</v>
      </c>
      <c r="E10" s="7" t="n"/>
      <c r="F10" s="6">
        <f>IF(E10="","",E10-D10)</f>
        <v/>
      </c>
      <c r="G10" s="5" t="inlineStr">
        <is>
          <t>fast</t>
        </is>
      </c>
      <c r="H10" s="5" t="inlineStr">
        <is>
          <t>ships</t>
        </is>
      </c>
      <c r="I10" s="8" t="n"/>
    </row>
    <row r="11">
      <c r="A11" s="14" t="inlineStr">
        <is>
          <t>Price book</t>
        </is>
      </c>
      <c r="B11" s="5" t="inlineStr">
        <is>
          <t>DSLR / mirrorless camera</t>
        </is>
      </c>
      <c r="C11" s="5" t="inlineStr">
        <is>
          <t>DSLR / mirrorless camera</t>
        </is>
      </c>
      <c r="D11" s="6" t="n">
        <v>200</v>
      </c>
      <c r="E11" s="7" t="n"/>
      <c r="F11" s="6">
        <f>IF(E11="","",E11-D11)</f>
        <v/>
      </c>
      <c r="G11" s="5" t="inlineStr">
        <is>
          <t>slow</t>
        </is>
      </c>
      <c r="H11" s="5" t="inlineStr">
        <is>
          <t>ships</t>
        </is>
      </c>
      <c r="I11" s="8" t="n"/>
    </row>
    <row r="12">
      <c r="A12" s="14" t="inlineStr">
        <is>
          <t>Price book</t>
        </is>
      </c>
      <c r="B12" s="5" t="inlineStr">
        <is>
          <t>Wireless mouse — computer</t>
        </is>
      </c>
      <c r="C12" s="5" t="inlineStr">
        <is>
          <t>Wireless mouse — computer</t>
        </is>
      </c>
      <c r="D12" s="6" t="n">
        <v>10</v>
      </c>
      <c r="E12" s="7" t="n"/>
      <c r="F12" s="6">
        <f>IF(E12="","",E12-D12)</f>
        <v/>
      </c>
      <c r="G12" s="5" t="inlineStr">
        <is>
          <t>slow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Computer keyboard</t>
        </is>
      </c>
      <c r="C13" s="5" t="inlineStr">
        <is>
          <t>Computer keyboard</t>
        </is>
      </c>
      <c r="D13" s="6" t="n">
        <v>15</v>
      </c>
      <c r="E13" s="7" t="n"/>
      <c r="F13" s="6">
        <f>IF(E13="","",E13-D13)</f>
        <v/>
      </c>
      <c r="G13" s="5" t="inlineStr">
        <is>
          <t>slow</t>
        </is>
      </c>
      <c r="H13" s="5" t="inlineStr">
        <is>
          <t>ships</t>
        </is>
      </c>
      <c r="I13" s="8" t="n"/>
    </row>
    <row r="14">
      <c r="A14" s="14" t="inlineStr">
        <is>
          <t>Price book</t>
        </is>
      </c>
      <c r="B14" s="5" t="inlineStr">
        <is>
          <t>Soundbar</t>
        </is>
      </c>
      <c r="C14" s="5" t="inlineStr">
        <is>
          <t>Soundbar</t>
        </is>
      </c>
      <c r="D14" s="6" t="n">
        <v>60</v>
      </c>
      <c r="E14" s="7" t="n"/>
      <c r="F14" s="6">
        <f>IF(E14="","",E14-D14)</f>
        <v/>
      </c>
      <c r="G14" s="5" t="inlineStr">
        <is>
          <t>fast</t>
        </is>
      </c>
      <c r="H14" s="5" t="inlineStr">
        <is>
          <t>ships</t>
        </is>
      </c>
      <c r="I14" s="8" t="n"/>
    </row>
    <row r="15">
      <c r="A15" s="14" t="inlineStr">
        <is>
          <t>Price book</t>
        </is>
      </c>
      <c r="B15" s="5" t="inlineStr">
        <is>
          <t>AV receiver</t>
        </is>
      </c>
      <c r="C15" s="5" t="inlineStr">
        <is>
          <t>AV receiver</t>
        </is>
      </c>
      <c r="D15" s="6" t="n">
        <v>80</v>
      </c>
      <c r="E15" s="7" t="n"/>
      <c r="F15" s="6">
        <f>IF(E15="","",E15-D15)</f>
        <v/>
      </c>
      <c r="G15" s="5" t="inlineStr">
        <is>
          <t>slow</t>
        </is>
      </c>
      <c r="H15" s="5" t="inlineStr">
        <is>
          <t>ships</t>
        </is>
      </c>
      <c r="I15" s="8" t="n"/>
    </row>
    <row r="16">
      <c r="A16" s="14" t="inlineStr">
        <is>
          <t>Price book</t>
        </is>
      </c>
      <c r="B16" s="5" t="inlineStr">
        <is>
          <t>Turntable</t>
        </is>
      </c>
      <c r="C16" s="5" t="inlineStr">
        <is>
          <t>Turntable</t>
        </is>
      </c>
      <c r="D16" s="6" t="n">
        <v>70</v>
      </c>
      <c r="E16" s="7" t="n"/>
      <c r="F16" s="6">
        <f>IF(E16="","",E16-D16)</f>
        <v/>
      </c>
      <c r="G16" s="5" t="inlineStr">
        <is>
          <t>normal</t>
        </is>
      </c>
      <c r="H16" s="5" t="inlineStr">
        <is>
          <t>ships</t>
        </is>
      </c>
      <c r="I16" s="8" t="n"/>
    </row>
    <row r="17">
      <c r="A17" s="14" t="inlineStr">
        <is>
          <t>Price book</t>
        </is>
      </c>
      <c r="B17" s="5" t="inlineStr">
        <is>
          <t>Gaming desktop PC</t>
        </is>
      </c>
      <c r="C17" s="5" t="inlineStr">
        <is>
          <t>Gaming desktop PC</t>
        </is>
      </c>
      <c r="D17" s="6" t="n">
        <v>550</v>
      </c>
      <c r="E17" s="7" t="n"/>
      <c r="F17" s="6">
        <f>IF(E17="","",E17-D17)</f>
        <v/>
      </c>
      <c r="G17" s="5" t="inlineStr">
        <is>
          <t>normal</t>
        </is>
      </c>
      <c r="H17" s="5" t="inlineStr">
        <is>
          <t>ships</t>
        </is>
      </c>
      <c r="I17" s="8" t="n"/>
    </row>
    <row r="18">
      <c r="A18" s="14" t="inlineStr">
        <is>
          <t>Price book</t>
        </is>
      </c>
      <c r="B18" s="5" t="inlineStr">
        <is>
          <t>Monitor — 27in</t>
        </is>
      </c>
      <c r="C18" s="5" t="inlineStr">
        <is>
          <t>Monitor — 27in</t>
        </is>
      </c>
      <c r="D18" s="6" t="n">
        <v>80</v>
      </c>
      <c r="E18" s="7" t="n"/>
      <c r="F18" s="6">
        <f>IF(E18="","",E18-D18)</f>
        <v/>
      </c>
      <c r="G18" s="5" t="inlineStr">
        <is>
          <t>fast</t>
        </is>
      </c>
      <c r="H18" s="5" t="inlineStr">
        <is>
          <t>ships</t>
        </is>
      </c>
      <c r="I18" s="8" t="n"/>
    </row>
    <row r="19">
      <c r="A19" s="14" t="inlineStr">
        <is>
          <t>Price book</t>
        </is>
      </c>
      <c r="B19" s="5" t="inlineStr">
        <is>
          <t>Camera drone</t>
        </is>
      </c>
      <c r="C19" s="5" t="inlineStr">
        <is>
          <t>Camera drone</t>
        </is>
      </c>
      <c r="D19" s="6" t="n">
        <v>300</v>
      </c>
      <c r="E19" s="7" t="n"/>
      <c r="F19" s="6">
        <f>IF(E19="","",E19-D19)</f>
        <v/>
      </c>
      <c r="G19" s="5" t="inlineStr">
        <is>
          <t>normal</t>
        </is>
      </c>
      <c r="H19" s="5" t="inlineStr">
        <is>
          <t>ships</t>
        </is>
      </c>
      <c r="I19" s="8" t="n"/>
    </row>
    <row r="20">
      <c r="A20" s="14" t="inlineStr">
        <is>
          <t>Price book</t>
        </is>
      </c>
      <c r="B20" s="5" t="inlineStr">
        <is>
          <t>GoPro / action camera</t>
        </is>
      </c>
      <c r="C20" s="5" t="inlineStr">
        <is>
          <t>GoPro / action camera</t>
        </is>
      </c>
      <c r="D20" s="6" t="n">
        <v>90</v>
      </c>
      <c r="E20" s="7" t="n"/>
      <c r="F20" s="6">
        <f>IF(E20="","",E20-D20)</f>
        <v/>
      </c>
      <c r="G20" s="5" t="inlineStr">
        <is>
          <t>fast</t>
        </is>
      </c>
      <c r="H20" s="5" t="inlineStr">
        <is>
          <t>ships</t>
        </is>
      </c>
      <c r="I20" s="8" t="n"/>
    </row>
    <row r="21">
      <c r="A21" s="14" t="inlineStr">
        <is>
          <t>Price book</t>
        </is>
      </c>
      <c r="B21" s="5" t="inlineStr">
        <is>
          <t>Smartwatch — Apple / Galaxy</t>
        </is>
      </c>
      <c r="C21" s="5" t="inlineStr">
        <is>
          <t>Smartwatch — Apple / Galaxy</t>
        </is>
      </c>
      <c r="D21" s="6" t="n">
        <v>120</v>
      </c>
      <c r="E21" s="7" t="n"/>
      <c r="F21" s="6">
        <f>IF(E21="","",E21-D21)</f>
        <v/>
      </c>
      <c r="G21" s="5" t="inlineStr">
        <is>
          <t>fast</t>
        </is>
      </c>
      <c r="H21" s="5" t="inlineStr">
        <is>
          <t>ships</t>
        </is>
      </c>
      <c r="I21" s="8" t="n"/>
    </row>
    <row r="22">
      <c r="A22" s="14" t="inlineStr">
        <is>
          <t>Price book</t>
        </is>
      </c>
      <c r="B22" s="5" t="inlineStr">
        <is>
          <t>VR headset</t>
        </is>
      </c>
      <c r="C22" s="5" t="inlineStr">
        <is>
          <t>VR headset</t>
        </is>
      </c>
      <c r="D22" s="6" t="n">
        <v>180</v>
      </c>
      <c r="E22" s="7" t="n"/>
      <c r="F22" s="6">
        <f>IF(E22="","",E22-D22)</f>
        <v/>
      </c>
      <c r="G22" s="5" t="inlineStr">
        <is>
          <t>normal</t>
        </is>
      </c>
      <c r="H22" s="5" t="inlineStr">
        <is>
          <t>ships</t>
        </is>
      </c>
      <c r="I22" s="8" t="n"/>
    </row>
    <row r="23">
      <c r="A23" s="14" t="inlineStr">
        <is>
          <t>Price book</t>
        </is>
      </c>
      <c r="B23" s="5" t="inlineStr">
        <is>
          <t>Handheld game console</t>
        </is>
      </c>
      <c r="C23" s="5" t="inlineStr">
        <is>
          <t>Handheld game console</t>
        </is>
      </c>
      <c r="D23" s="6" t="n">
        <v>170</v>
      </c>
      <c r="E23" s="7" t="n"/>
      <c r="F23" s="6">
        <f>IF(E23="","",E23-D23)</f>
        <v/>
      </c>
      <c r="G23" s="5" t="inlineStr">
        <is>
          <t>fast</t>
        </is>
      </c>
      <c r="H23" s="5" t="inlineStr">
        <is>
          <t>ships</t>
        </is>
      </c>
      <c r="I23" s="8" t="n"/>
    </row>
    <row r="24">
      <c r="A24" s="14" t="inlineStr">
        <is>
          <t>Price book</t>
        </is>
      </c>
      <c r="B24" s="5" t="inlineStr">
        <is>
          <t>Video game — current title</t>
        </is>
      </c>
      <c r="C24" s="5" t="inlineStr">
        <is>
          <t>Video game — current title</t>
        </is>
      </c>
      <c r="D24" s="6" t="n">
        <v>25</v>
      </c>
      <c r="E24" s="7" t="n"/>
      <c r="F24" s="6">
        <f>IF(E24="","",E24-D24)</f>
        <v/>
      </c>
      <c r="G24" s="5" t="inlineStr">
        <is>
          <t>fast</t>
        </is>
      </c>
      <c r="H24" s="5" t="inlineStr">
        <is>
          <t>ships</t>
        </is>
      </c>
      <c r="I24" s="8" t="n"/>
    </row>
    <row r="25">
      <c r="A25" s="14" t="inlineStr">
        <is>
          <t>Price book</t>
        </is>
      </c>
      <c r="B25" s="5" t="inlineStr">
        <is>
          <t>Projector</t>
        </is>
      </c>
      <c r="C25" s="5" t="inlineStr">
        <is>
          <t>Projector</t>
        </is>
      </c>
      <c r="D25" s="6" t="n">
        <v>120</v>
      </c>
      <c r="E25" s="7" t="n"/>
      <c r="F25" s="6">
        <f>IF(E25="","",E25-D25)</f>
        <v/>
      </c>
      <c r="G25" s="5" t="inlineStr">
        <is>
          <t>normal</t>
        </is>
      </c>
      <c r="H25" s="5" t="inlineStr">
        <is>
          <t>ships</t>
        </is>
      </c>
      <c r="I25" s="8" t="n"/>
    </row>
    <row r="26">
      <c r="A26" s="14" t="inlineStr">
        <is>
          <t>Price book</t>
        </is>
      </c>
      <c r="B26" s="5" t="inlineStr">
        <is>
          <t>Two-way radios — pair</t>
        </is>
      </c>
      <c r="C26" s="5" t="inlineStr">
        <is>
          <t>Two-way radios — pair</t>
        </is>
      </c>
      <c r="D26" s="6" t="n">
        <v>40</v>
      </c>
      <c r="E26" s="7" t="n"/>
      <c r="F26" s="6">
        <f>IF(E26="","",E26-D26)</f>
        <v/>
      </c>
      <c r="G26" s="5" t="inlineStr">
        <is>
          <t>normal</t>
        </is>
      </c>
      <c r="H26" s="5" t="inlineStr">
        <is>
          <t>ships</t>
        </is>
      </c>
      <c r="I26" s="8" t="n"/>
    </row>
    <row r="27">
      <c r="A27" s="14" t="inlineStr">
        <is>
          <t>Price book</t>
        </is>
      </c>
      <c r="B27" s="5" t="inlineStr">
        <is>
          <t>DJ controller</t>
        </is>
      </c>
      <c r="C27" s="5" t="inlineStr">
        <is>
          <t>DJ controller</t>
        </is>
      </c>
      <c r="D27" s="6" t="n">
        <v>120</v>
      </c>
      <c r="E27" s="7" t="n"/>
      <c r="F27" s="6">
        <f>IF(E27="","",E27-D27)</f>
        <v/>
      </c>
      <c r="G27" s="5" t="inlineStr">
        <is>
          <t>slow</t>
        </is>
      </c>
      <c r="H27" s="5" t="inlineStr">
        <is>
          <t>ships</t>
        </is>
      </c>
      <c r="I27" s="8" t="n"/>
    </row>
    <row r="28">
      <c r="A28" s="14" t="inlineStr">
        <is>
          <t>Price book</t>
        </is>
      </c>
      <c r="B28" s="5" t="inlineStr">
        <is>
          <t>Ring / smart doorbell</t>
        </is>
      </c>
      <c r="C28" s="5" t="inlineStr">
        <is>
          <t>Ring / smart doorbell</t>
        </is>
      </c>
      <c r="D28" s="6" t="n">
        <v>40</v>
      </c>
      <c r="E28" s="7" t="n"/>
      <c r="F28" s="6">
        <f>IF(E28="","",E28-D28)</f>
        <v/>
      </c>
      <c r="G28" s="5" t="inlineStr">
        <is>
          <t>normal</t>
        </is>
      </c>
      <c r="H28" s="5" t="inlineStr">
        <is>
          <t>ships</t>
        </is>
      </c>
      <c r="I28" s="8" t="n"/>
    </row>
    <row r="29">
      <c r="A29" s="14" t="inlineStr">
        <is>
          <t>Price book</t>
        </is>
      </c>
      <c r="B29" s="5" t="inlineStr">
        <is>
          <t>Dash camera</t>
        </is>
      </c>
      <c r="C29" s="5" t="inlineStr">
        <is>
          <t>Dash camera</t>
        </is>
      </c>
      <c r="D29" s="6" t="n">
        <v>40</v>
      </c>
      <c r="E29" s="7" t="n"/>
      <c r="F29" s="6">
        <f>IF(E29="","",E29-D29)</f>
        <v/>
      </c>
      <c r="G29" s="5" t="inlineStr">
        <is>
          <t>normal</t>
        </is>
      </c>
      <c r="H29" s="5" t="inlineStr">
        <is>
          <t>ships</t>
        </is>
      </c>
      <c r="I29" s="8" t="n"/>
    </row>
    <row r="30">
      <c r="A30" s="14" t="inlineStr">
        <is>
          <t>Price book</t>
        </is>
      </c>
      <c r="B30" s="5" t="inlineStr">
        <is>
          <t>Security camera system</t>
        </is>
      </c>
      <c r="C30" s="5" t="inlineStr">
        <is>
          <t>Security camera system</t>
        </is>
      </c>
      <c r="D30" s="6" t="n">
        <v>120</v>
      </c>
      <c r="E30" s="7" t="n"/>
      <c r="F30" s="6">
        <f>IF(E30="","",E30-D30)</f>
        <v/>
      </c>
      <c r="G30" s="5" t="inlineStr">
        <is>
          <t>normal</t>
        </is>
      </c>
      <c r="H30" s="5" t="inlineStr">
        <is>
          <t>ships</t>
        </is>
      </c>
      <c r="I30" s="8" t="n"/>
    </row>
    <row r="31">
      <c r="A31" s="14" t="inlineStr">
        <is>
          <t>Price book</t>
        </is>
      </c>
      <c r="B31" s="5" t="inlineStr">
        <is>
          <t>Wifi router / modem</t>
        </is>
      </c>
      <c r="C31" s="5" t="inlineStr">
        <is>
          <t>Wifi router / modem</t>
        </is>
      </c>
      <c r="D31" s="6" t="n">
        <v>30</v>
      </c>
      <c r="E31" s="7" t="n"/>
      <c r="F31" s="6">
        <f>IF(E31="","",E31-D31)</f>
        <v/>
      </c>
      <c r="G31" s="5" t="inlineStr">
        <is>
          <t>normal</t>
        </is>
      </c>
      <c r="H31" s="5" t="inlineStr">
        <is>
          <t>ships</t>
        </is>
      </c>
      <c r="I31" s="8" t="n"/>
    </row>
    <row r="32">
      <c r="A32" s="14" t="inlineStr">
        <is>
          <t>Price book</t>
        </is>
      </c>
      <c r="B32" s="5" t="inlineStr">
        <is>
          <t>Printer — all in one</t>
        </is>
      </c>
      <c r="C32" s="5" t="inlineStr">
        <is>
          <t>Printer — all in one</t>
        </is>
      </c>
      <c r="D32" s="6" t="n">
        <v>40</v>
      </c>
      <c r="E32" s="7" t="n"/>
      <c r="F32" s="6">
        <f>IF(E32="","",E32-D32)</f>
        <v/>
      </c>
      <c r="G32" s="5" t="inlineStr">
        <is>
          <t>slow</t>
        </is>
      </c>
      <c r="H32" s="5" t="inlineStr">
        <is>
          <t>ships</t>
        </is>
      </c>
      <c r="I32" s="8" t="n"/>
    </row>
    <row r="33">
      <c r="A33" s="14" t="inlineStr">
        <is>
          <t>Price book</t>
        </is>
      </c>
      <c r="B33" s="5" t="inlineStr">
        <is>
          <t>Record player / turntable set</t>
        </is>
      </c>
      <c r="C33" s="5" t="inlineStr">
        <is>
          <t>Record player / turntable set</t>
        </is>
      </c>
      <c r="D33" s="6" t="n">
        <v>70</v>
      </c>
      <c r="E33" s="7" t="n"/>
      <c r="F33" s="6">
        <f>IF(E33="","",E33-D33)</f>
        <v/>
      </c>
      <c r="G33" s="5" t="inlineStr">
        <is>
          <t>normal</t>
        </is>
      </c>
      <c r="H33" s="5" t="inlineStr">
        <is>
          <t>ships</t>
        </is>
      </c>
      <c r="I33" s="8" t="n"/>
    </row>
    <row r="34">
      <c r="A34" s="14" t="inlineStr">
        <is>
          <t>Price book</t>
        </is>
      </c>
      <c r="B34" s="5" t="inlineStr">
        <is>
          <t>Karaoke machine</t>
        </is>
      </c>
      <c r="C34" s="5" t="inlineStr">
        <is>
          <t>Karaoke machine</t>
        </is>
      </c>
      <c r="D34" s="6" t="n">
        <v>50</v>
      </c>
      <c r="E34" s="7" t="n"/>
      <c r="F34" s="6">
        <f>IF(E34="","",E34-D34)</f>
        <v/>
      </c>
      <c r="G34" s="5" t="inlineStr">
        <is>
          <t>slow</t>
        </is>
      </c>
      <c r="H34" s="5" t="inlineStr">
        <is>
          <t>ships</t>
        </is>
      </c>
      <c r="I34" s="8" t="n"/>
    </row>
    <row r="35">
      <c r="A35" s="14" t="inlineStr">
        <is>
          <t>Price book</t>
        </is>
      </c>
      <c r="B35" s="5" t="inlineStr">
        <is>
          <t>E-reader — Kindle class</t>
        </is>
      </c>
      <c r="C35" s="5" t="inlineStr">
        <is>
          <t>E-reader — Kindle class</t>
        </is>
      </c>
      <c r="D35" s="6" t="n">
        <v>40</v>
      </c>
      <c r="E35" s="7" t="n"/>
      <c r="F35" s="6">
        <f>IF(E35="","",E35-D35)</f>
        <v/>
      </c>
      <c r="G35" s="5" t="inlineStr">
        <is>
          <t>normal</t>
        </is>
      </c>
      <c r="H35" s="5" t="inlineStr">
        <is>
          <t>ships</t>
        </is>
      </c>
      <c r="I35" s="8" t="n"/>
    </row>
    <row r="37">
      <c r="C37" s="2" t="inlineStr">
        <is>
          <t>Rows on this sheet</t>
        </is>
      </c>
      <c r="D37" s="2">
        <f>COUNTA(C3:C35)</f>
        <v/>
      </c>
    </row>
    <row r="38">
      <c r="C38" s="2" t="inlineStr">
        <is>
          <t>Ones you changed</t>
        </is>
      </c>
      <c r="D38" s="2">
        <f>COUNT(E3:E35)</f>
        <v/>
      </c>
    </row>
    <row r="40">
      <c r="A40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Appliances &amp; household</t>
        </is>
      </c>
      <c r="D1" s="9" t="inlineStr">
        <is>
          <t>suggested loan: 33%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a1</t>
        </is>
      </c>
      <c r="C3" s="5" t="inlineStr">
        <is>
          <t>Range / oven</t>
        </is>
      </c>
      <c r="D3" s="6" t="n">
        <v>150</v>
      </c>
      <c r="E3" s="7" t="n"/>
      <c r="F3" s="6">
        <f>IF(E3="","",E3-D3)</f>
        <v/>
      </c>
      <c r="G3" s="5" t="inlineStr">
        <is>
          <t>slow</t>
        </is>
      </c>
      <c r="H3" s="15" t="inlineStr">
        <is>
          <t>local only</t>
        </is>
      </c>
      <c r="I3" s="8" t="n"/>
    </row>
    <row r="4">
      <c r="A4" s="14" t="inlineStr">
        <is>
          <t>List item</t>
        </is>
      </c>
      <c r="B4" s="5" t="inlineStr">
        <is>
          <t>a2</t>
        </is>
      </c>
      <c r="C4" s="5" t="inlineStr">
        <is>
          <t>Refrigerator</t>
        </is>
      </c>
      <c r="D4" s="6" t="n">
        <v>240</v>
      </c>
      <c r="E4" s="7" t="n"/>
      <c r="F4" s="6">
        <f>IF(E4="","",E4-D4)</f>
        <v/>
      </c>
      <c r="G4" s="5" t="inlineStr">
        <is>
          <t>slow</t>
        </is>
      </c>
      <c r="H4" s="15" t="inlineStr">
        <is>
          <t>local only</t>
        </is>
      </c>
      <c r="I4" s="8" t="n"/>
    </row>
    <row r="5">
      <c r="A5" s="14" t="inlineStr">
        <is>
          <t>List item</t>
        </is>
      </c>
      <c r="B5" s="5" t="inlineStr">
        <is>
          <t>a3</t>
        </is>
      </c>
      <c r="C5" s="5" t="inlineStr">
        <is>
          <t>Washer</t>
        </is>
      </c>
      <c r="D5" s="6" t="n">
        <v>175</v>
      </c>
      <c r="E5" s="7" t="n"/>
      <c r="F5" s="6">
        <f>IF(E5="","",E5-D5)</f>
        <v/>
      </c>
      <c r="G5" s="5" t="inlineStr">
        <is>
          <t>normal</t>
        </is>
      </c>
      <c r="H5" s="15" t="inlineStr">
        <is>
          <t>local only</t>
        </is>
      </c>
      <c r="I5" s="8" t="n"/>
    </row>
    <row r="6">
      <c r="A6" s="14" t="inlineStr">
        <is>
          <t>List item</t>
        </is>
      </c>
      <c r="B6" s="5" t="inlineStr">
        <is>
          <t>a4</t>
        </is>
      </c>
      <c r="C6" s="5" t="inlineStr">
        <is>
          <t>Dryer</t>
        </is>
      </c>
      <c r="D6" s="6" t="n">
        <v>175</v>
      </c>
      <c r="E6" s="7" t="n"/>
      <c r="F6" s="6">
        <f>IF(E6="","",E6-D6)</f>
        <v/>
      </c>
      <c r="G6" s="5" t="inlineStr">
        <is>
          <t>normal</t>
        </is>
      </c>
      <c r="H6" s="15" t="inlineStr">
        <is>
          <t>local only</t>
        </is>
      </c>
      <c r="I6" s="8" t="n"/>
    </row>
    <row r="7">
      <c r="A7" s="14" t="inlineStr">
        <is>
          <t>List item</t>
        </is>
      </c>
      <c r="B7" s="5" t="inlineStr">
        <is>
          <t>a5</t>
        </is>
      </c>
      <c r="C7" s="5" t="inlineStr">
        <is>
          <t>Washer &amp; dryer pair</t>
        </is>
      </c>
      <c r="D7" s="6" t="n">
        <v>375</v>
      </c>
      <c r="E7" s="7" t="n"/>
      <c r="F7" s="6">
        <f>IF(E7="","",E7-D7)</f>
        <v/>
      </c>
      <c r="G7" s="5" t="inlineStr">
        <is>
          <t>normal</t>
        </is>
      </c>
      <c r="H7" s="15" t="inlineStr">
        <is>
          <t>local only</t>
        </is>
      </c>
      <c r="I7" s="8" t="n"/>
    </row>
    <row r="8">
      <c r="A8" s="14" t="inlineStr">
        <is>
          <t>List item</t>
        </is>
      </c>
      <c r="B8" s="5" t="inlineStr">
        <is>
          <t>a6</t>
        </is>
      </c>
      <c r="C8" s="5" t="inlineStr">
        <is>
          <t>Chest freezer</t>
        </is>
      </c>
      <c r="D8" s="6" t="n">
        <v>120</v>
      </c>
      <c r="E8" s="7" t="n"/>
      <c r="F8" s="6">
        <f>IF(E8="","",E8-D8)</f>
        <v/>
      </c>
      <c r="G8" s="5" t="inlineStr">
        <is>
          <t>normal</t>
        </is>
      </c>
      <c r="H8" s="15" t="inlineStr">
        <is>
          <t>local only</t>
        </is>
      </c>
      <c r="I8" s="8" t="n"/>
    </row>
    <row r="9">
      <c r="A9" s="14" t="inlineStr">
        <is>
          <t>List item</t>
        </is>
      </c>
      <c r="B9" s="5" t="inlineStr">
        <is>
          <t>a7</t>
        </is>
      </c>
      <c r="C9" s="5" t="inlineStr">
        <is>
          <t>Window air conditioner</t>
        </is>
      </c>
      <c r="D9" s="6" t="n">
        <v>80</v>
      </c>
      <c r="E9" s="7" t="n"/>
      <c r="F9" s="6">
        <f>IF(E9="","",E9-D9)</f>
        <v/>
      </c>
      <c r="G9" s="5" t="inlineStr">
        <is>
          <t>fast</t>
        </is>
      </c>
      <c r="H9" s="15" t="inlineStr">
        <is>
          <t>local only</t>
        </is>
      </c>
      <c r="I9" s="8" t="n"/>
    </row>
    <row r="10">
      <c r="A10" s="14" t="inlineStr">
        <is>
          <t>List item</t>
        </is>
      </c>
      <c r="B10" s="5" t="inlineStr">
        <is>
          <t>a8</t>
        </is>
      </c>
      <c r="C10" s="5" t="inlineStr">
        <is>
          <t>Microwave</t>
        </is>
      </c>
      <c r="D10" s="6" t="n">
        <v>35</v>
      </c>
      <c r="E10" s="7" t="n"/>
      <c r="F10" s="6">
        <f>IF(E10="","",E10-D10)</f>
        <v/>
      </c>
      <c r="G10" s="5" t="inlineStr">
        <is>
          <t>slow</t>
        </is>
      </c>
      <c r="H10" s="15" t="inlineStr">
        <is>
          <t>local only</t>
        </is>
      </c>
      <c r="I10" s="8" t="n"/>
    </row>
    <row r="11">
      <c r="A11" s="14" t="inlineStr">
        <is>
          <t>List item</t>
        </is>
      </c>
      <c r="B11" s="5" t="inlineStr">
        <is>
          <t>a9</t>
        </is>
      </c>
      <c r="C11" s="5" t="inlineStr">
        <is>
          <t>Sewing machine</t>
        </is>
      </c>
      <c r="D11" s="6" t="n">
        <v>70</v>
      </c>
      <c r="E11" s="7" t="n"/>
      <c r="F11" s="6">
        <f>IF(E11="","",E11-D11)</f>
        <v/>
      </c>
      <c r="G11" s="5" t="inlineStr">
        <is>
          <t>slow</t>
        </is>
      </c>
      <c r="H11" s="15" t="inlineStr">
        <is>
          <t>local only</t>
        </is>
      </c>
      <c r="I11" s="8" t="n"/>
    </row>
    <row r="12">
      <c r="A12" s="14" t="inlineStr">
        <is>
          <t>List item</t>
        </is>
      </c>
      <c r="B12" s="5" t="inlineStr">
        <is>
          <t>a10</t>
        </is>
      </c>
      <c r="C12" s="5" t="inlineStr">
        <is>
          <t>Vacuum cleaner</t>
        </is>
      </c>
      <c r="D12" s="6" t="n">
        <v>60</v>
      </c>
      <c r="E12" s="7" t="n"/>
      <c r="F12" s="6">
        <f>IF(E12="","",E12-D12)</f>
        <v/>
      </c>
      <c r="G12" s="5" t="inlineStr">
        <is>
          <t>normal</t>
        </is>
      </c>
      <c r="H12" s="15" t="inlineStr">
        <is>
          <t>local only</t>
        </is>
      </c>
      <c r="I12" s="8" t="n"/>
    </row>
    <row r="13">
      <c r="A13" s="14" t="inlineStr">
        <is>
          <t>Price book</t>
        </is>
      </c>
      <c r="B13" s="5" t="inlineStr">
        <is>
          <t>Gas grill</t>
        </is>
      </c>
      <c r="C13" s="5" t="inlineStr">
        <is>
          <t>Gas grill</t>
        </is>
      </c>
      <c r="D13" s="6" t="n">
        <v>90</v>
      </c>
      <c r="E13" s="7" t="n"/>
      <c r="F13" s="6">
        <f>IF(E13="","",E13-D13)</f>
        <v/>
      </c>
      <c r="G13" s="5" t="inlineStr">
        <is>
          <t>normal</t>
        </is>
      </c>
      <c r="H13" s="15" t="inlineStr">
        <is>
          <t>local only</t>
        </is>
      </c>
      <c r="I13" s="8" t="n"/>
    </row>
    <row r="14">
      <c r="A14" s="14" t="inlineStr">
        <is>
          <t>Price book</t>
        </is>
      </c>
      <c r="B14" s="5" t="inlineStr">
        <is>
          <t>Charcoal grill / kettle</t>
        </is>
      </c>
      <c r="C14" s="5" t="inlineStr">
        <is>
          <t>Charcoal grill / kettle</t>
        </is>
      </c>
      <c r="D14" s="6" t="n">
        <v>40</v>
      </c>
      <c r="E14" s="7" t="n"/>
      <c r="F14" s="6">
        <f>IF(E14="","",E14-D14)</f>
        <v/>
      </c>
      <c r="G14" s="5" t="inlineStr">
        <is>
          <t>normal</t>
        </is>
      </c>
      <c r="H14" s="15" t="inlineStr">
        <is>
          <t>local only</t>
        </is>
      </c>
      <c r="I14" s="8" t="n"/>
    </row>
    <row r="15">
      <c r="A15" s="14" t="inlineStr">
        <is>
          <t>Price book</t>
        </is>
      </c>
      <c r="B15" s="5" t="inlineStr">
        <is>
          <t>Pellet grill / smoker</t>
        </is>
      </c>
      <c r="C15" s="5" t="inlineStr">
        <is>
          <t>Pellet grill / smoker</t>
        </is>
      </c>
      <c r="D15" s="6" t="n">
        <v>275</v>
      </c>
      <c r="E15" s="7" t="n"/>
      <c r="F15" s="6">
        <f>IF(E15="","",E15-D15)</f>
        <v/>
      </c>
      <c r="G15" s="5" t="inlineStr">
        <is>
          <t>normal</t>
        </is>
      </c>
      <c r="H15" s="15" t="inlineStr">
        <is>
          <t>local only</t>
        </is>
      </c>
      <c r="I15" s="8" t="n"/>
    </row>
    <row r="16">
      <c r="A16" s="14" t="inlineStr">
        <is>
          <t>Price book</t>
        </is>
      </c>
      <c r="B16" s="5" t="inlineStr">
        <is>
          <t>Offset smoker</t>
        </is>
      </c>
      <c r="C16" s="5" t="inlineStr">
        <is>
          <t>Offset smoker</t>
        </is>
      </c>
      <c r="D16" s="6" t="n">
        <v>150</v>
      </c>
      <c r="E16" s="7" t="n"/>
      <c r="F16" s="6">
        <f>IF(E16="","",E16-D16)</f>
        <v/>
      </c>
      <c r="G16" s="5" t="inlineStr">
        <is>
          <t>slow</t>
        </is>
      </c>
      <c r="H16" s="15" t="inlineStr">
        <is>
          <t>local only</t>
        </is>
      </c>
      <c r="I16" s="8" t="n"/>
    </row>
    <row r="17">
      <c r="A17" s="14" t="inlineStr">
        <is>
          <t>Price book</t>
        </is>
      </c>
      <c r="B17" s="5" t="inlineStr">
        <is>
          <t>Flat-top griddle — Blackstone class</t>
        </is>
      </c>
      <c r="C17" s="5" t="inlineStr">
        <is>
          <t>Flat-top griddle — Blackstone class</t>
        </is>
      </c>
      <c r="D17" s="6" t="n">
        <v>120</v>
      </c>
      <c r="E17" s="7" t="n"/>
      <c r="F17" s="6">
        <f>IF(E17="","",E17-D17)</f>
        <v/>
      </c>
      <c r="G17" s="5" t="inlineStr">
        <is>
          <t>fast</t>
        </is>
      </c>
      <c r="H17" s="15" t="inlineStr">
        <is>
          <t>local only</t>
        </is>
      </c>
      <c r="I17" s="8" t="n"/>
    </row>
    <row r="18">
      <c r="A18" s="14" t="inlineStr">
        <is>
          <t>Price book</t>
        </is>
      </c>
      <c r="B18" s="5" t="inlineStr">
        <is>
          <t>Propane tank — 20lb, full</t>
        </is>
      </c>
      <c r="C18" s="5" t="inlineStr">
        <is>
          <t>Propane tank — 20lb, full</t>
        </is>
      </c>
      <c r="D18" s="6" t="n">
        <v>20</v>
      </c>
      <c r="E18" s="7" t="n"/>
      <c r="F18" s="6">
        <f>IF(E18="","",E18-D18)</f>
        <v/>
      </c>
      <c r="G18" s="5" t="inlineStr">
        <is>
          <t>fast</t>
        </is>
      </c>
      <c r="H18" s="15" t="inlineStr">
        <is>
          <t>local only</t>
        </is>
      </c>
      <c r="I18" s="8" t="n"/>
    </row>
    <row r="19">
      <c r="A19" s="14" t="inlineStr">
        <is>
          <t>Price book</t>
        </is>
      </c>
      <c r="B19" s="5" t="inlineStr">
        <is>
          <t>Air fryer</t>
        </is>
      </c>
      <c r="C19" s="5" t="inlineStr">
        <is>
          <t>Air fryer</t>
        </is>
      </c>
      <c r="D19" s="6" t="n">
        <v>35</v>
      </c>
      <c r="E19" s="7" t="n"/>
      <c r="F19" s="6">
        <f>IF(E19="","",E19-D19)</f>
        <v/>
      </c>
      <c r="G19" s="5" t="inlineStr">
        <is>
          <t>fast</t>
        </is>
      </c>
      <c r="H19" s="15" t="inlineStr">
        <is>
          <t>local only</t>
        </is>
      </c>
      <c r="I19" s="8" t="n"/>
    </row>
    <row r="20">
      <c r="A20" s="14" t="inlineStr">
        <is>
          <t>Price book</t>
        </is>
      </c>
      <c r="B20" s="5" t="inlineStr">
        <is>
          <t>Pressure cooker — Instant Pot class</t>
        </is>
      </c>
      <c r="C20" s="5" t="inlineStr">
        <is>
          <t>Pressure cooker — Instant Pot class</t>
        </is>
      </c>
      <c r="D20" s="6" t="n">
        <v>35</v>
      </c>
      <c r="E20" s="7" t="n"/>
      <c r="F20" s="6">
        <f>IF(E20="","",E20-D20)</f>
        <v/>
      </c>
      <c r="G20" s="5" t="inlineStr">
        <is>
          <t>normal</t>
        </is>
      </c>
      <c r="H20" s="15" t="inlineStr">
        <is>
          <t>local only</t>
        </is>
      </c>
      <c r="I20" s="8" t="n"/>
    </row>
    <row r="21">
      <c r="A21" s="14" t="inlineStr">
        <is>
          <t>Price book</t>
        </is>
      </c>
      <c r="B21" s="5" t="inlineStr">
        <is>
          <t>Blender</t>
        </is>
      </c>
      <c r="C21" s="5" t="inlineStr">
        <is>
          <t>Blender</t>
        </is>
      </c>
      <c r="D21" s="6" t="n">
        <v>30</v>
      </c>
      <c r="E21" s="7" t="n"/>
      <c r="F21" s="6">
        <f>IF(E21="","",E21-D21)</f>
        <v/>
      </c>
      <c r="G21" s="5" t="inlineStr">
        <is>
          <t>normal</t>
        </is>
      </c>
      <c r="H21" s="15" t="inlineStr">
        <is>
          <t>local only</t>
        </is>
      </c>
      <c r="I21" s="8" t="n"/>
    </row>
    <row r="22">
      <c r="A22" s="14" t="inlineStr">
        <is>
          <t>Price book</t>
        </is>
      </c>
      <c r="B22" s="5" t="inlineStr">
        <is>
          <t>Coffee maker</t>
        </is>
      </c>
      <c r="C22" s="5" t="inlineStr">
        <is>
          <t>Coffee maker</t>
        </is>
      </c>
      <c r="D22" s="6" t="n">
        <v>25</v>
      </c>
      <c r="E22" s="7" t="n"/>
      <c r="F22" s="6">
        <f>IF(E22="","",E22-D22)</f>
        <v/>
      </c>
      <c r="G22" s="5" t="inlineStr">
        <is>
          <t>normal</t>
        </is>
      </c>
      <c r="H22" s="15" t="inlineStr">
        <is>
          <t>local only</t>
        </is>
      </c>
      <c r="I22" s="8" t="n"/>
    </row>
    <row r="23">
      <c r="A23" s="14" t="inlineStr">
        <is>
          <t>Price book</t>
        </is>
      </c>
      <c r="B23" s="5" t="inlineStr">
        <is>
          <t>Space heater</t>
        </is>
      </c>
      <c r="C23" s="5" t="inlineStr">
        <is>
          <t>Space heater</t>
        </is>
      </c>
      <c r="D23" s="6" t="n">
        <v>25</v>
      </c>
      <c r="E23" s="7" t="n"/>
      <c r="F23" s="6">
        <f>IF(E23="","",E23-D23)</f>
        <v/>
      </c>
      <c r="G23" s="5" t="inlineStr">
        <is>
          <t>normal</t>
        </is>
      </c>
      <c r="H23" s="15" t="inlineStr">
        <is>
          <t>local only</t>
        </is>
      </c>
      <c r="I23" s="8" t="n"/>
    </row>
    <row r="24">
      <c r="A24" s="14" t="inlineStr">
        <is>
          <t>Price book</t>
        </is>
      </c>
      <c r="B24" s="5" t="inlineStr">
        <is>
          <t>Box fan / tower fan</t>
        </is>
      </c>
      <c r="C24" s="5" t="inlineStr">
        <is>
          <t>Box fan / tower fan</t>
        </is>
      </c>
      <c r="D24" s="6" t="n">
        <v>15</v>
      </c>
      <c r="E24" s="7" t="n"/>
      <c r="F24" s="6">
        <f>IF(E24="","",E24-D24)</f>
        <v/>
      </c>
      <c r="G24" s="5" t="inlineStr">
        <is>
          <t>normal</t>
        </is>
      </c>
      <c r="H24" s="15" t="inlineStr">
        <is>
          <t>local only</t>
        </is>
      </c>
      <c r="I24" s="8" t="n"/>
    </row>
    <row r="25">
      <c r="A25" s="14" t="inlineStr">
        <is>
          <t>Price book</t>
        </is>
      </c>
      <c r="B25" s="5" t="inlineStr">
        <is>
          <t>Dehumidifier</t>
        </is>
      </c>
      <c r="C25" s="5" t="inlineStr">
        <is>
          <t>Dehumidifier</t>
        </is>
      </c>
      <c r="D25" s="6" t="n">
        <v>80</v>
      </c>
      <c r="E25" s="7" t="n"/>
      <c r="F25" s="6">
        <f>IF(E25="","",E25-D25)</f>
        <v/>
      </c>
      <c r="G25" s="5" t="inlineStr">
        <is>
          <t>normal</t>
        </is>
      </c>
      <c r="H25" s="15" t="inlineStr">
        <is>
          <t>local only</t>
        </is>
      </c>
      <c r="I25" s="8" t="n"/>
    </row>
    <row r="26">
      <c r="A26" s="14" t="inlineStr">
        <is>
          <t>Price book</t>
        </is>
      </c>
      <c r="B26" s="5" t="inlineStr">
        <is>
          <t>Portable air conditioner</t>
        </is>
      </c>
      <c r="C26" s="5" t="inlineStr">
        <is>
          <t>Portable air conditioner</t>
        </is>
      </c>
      <c r="D26" s="6" t="n">
        <v>120</v>
      </c>
      <c r="E26" s="7" t="n"/>
      <c r="F26" s="6">
        <f>IF(E26="","",E26-D26)</f>
        <v/>
      </c>
      <c r="G26" s="5" t="inlineStr">
        <is>
          <t>normal</t>
        </is>
      </c>
      <c r="H26" s="15" t="inlineStr">
        <is>
          <t>local only</t>
        </is>
      </c>
      <c r="I26" s="8" t="n"/>
    </row>
    <row r="27">
      <c r="A27" s="14" t="inlineStr">
        <is>
          <t>Price book</t>
        </is>
      </c>
      <c r="B27" s="5" t="inlineStr">
        <is>
          <t>Dishwasher</t>
        </is>
      </c>
      <c r="C27" s="5" t="inlineStr">
        <is>
          <t>Dishwasher</t>
        </is>
      </c>
      <c r="D27" s="6" t="n">
        <v>75</v>
      </c>
      <c r="E27" s="7" t="n"/>
      <c r="F27" s="6">
        <f>IF(E27="","",E27-D27)</f>
        <v/>
      </c>
      <c r="G27" s="5" t="inlineStr">
        <is>
          <t>slow</t>
        </is>
      </c>
      <c r="H27" s="15" t="inlineStr">
        <is>
          <t>local only</t>
        </is>
      </c>
      <c r="I27" s="8" t="n"/>
    </row>
    <row r="28">
      <c r="A28" s="14" t="inlineStr">
        <is>
          <t>Price book</t>
        </is>
      </c>
      <c r="B28" s="5" t="inlineStr">
        <is>
          <t>Garbage disposal</t>
        </is>
      </c>
      <c r="C28" s="5" t="inlineStr">
        <is>
          <t>Garbage disposal</t>
        </is>
      </c>
      <c r="D28" s="6" t="n">
        <v>25</v>
      </c>
      <c r="E28" s="7" t="n"/>
      <c r="F28" s="6">
        <f>IF(E28="","",E28-D28)</f>
        <v/>
      </c>
      <c r="G28" s="5" t="inlineStr">
        <is>
          <t>slow</t>
        </is>
      </c>
      <c r="H28" s="15" t="inlineStr">
        <is>
          <t>local only</t>
        </is>
      </c>
      <c r="I28" s="8" t="n"/>
    </row>
    <row r="29">
      <c r="A29" s="14" t="inlineStr">
        <is>
          <t>Price book</t>
        </is>
      </c>
      <c r="B29" s="5" t="inlineStr">
        <is>
          <t>Recliner</t>
        </is>
      </c>
      <c r="C29" s="5" t="inlineStr">
        <is>
          <t>Recliner</t>
        </is>
      </c>
      <c r="D29" s="6" t="n">
        <v>80</v>
      </c>
      <c r="E29" s="7" t="n"/>
      <c r="F29" s="6">
        <f>IF(E29="","",E29-D29)</f>
        <v/>
      </c>
      <c r="G29" s="5" t="inlineStr">
        <is>
          <t>slow</t>
        </is>
      </c>
      <c r="H29" s="15" t="inlineStr">
        <is>
          <t>local only</t>
        </is>
      </c>
      <c r="I29" s="8" t="n"/>
    </row>
    <row r="30">
      <c r="A30" s="14" t="inlineStr">
        <is>
          <t>Price book</t>
        </is>
      </c>
      <c r="B30" s="5" t="inlineStr">
        <is>
          <t>Sofa / couch</t>
        </is>
      </c>
      <c r="C30" s="5" t="inlineStr">
        <is>
          <t>Sofa / couch</t>
        </is>
      </c>
      <c r="D30" s="6" t="n">
        <v>120</v>
      </c>
      <c r="E30" s="7" t="n"/>
      <c r="F30" s="6">
        <f>IF(E30="","",E30-D30)</f>
        <v/>
      </c>
      <c r="G30" s="5" t="inlineStr">
        <is>
          <t>slow</t>
        </is>
      </c>
      <c r="H30" s="15" t="inlineStr">
        <is>
          <t>local only</t>
        </is>
      </c>
      <c r="I30" s="8" t="n"/>
    </row>
    <row r="31">
      <c r="A31" s="14" t="inlineStr">
        <is>
          <t>Price book</t>
        </is>
      </c>
      <c r="B31" s="5" t="inlineStr">
        <is>
          <t>Dresser / chest of drawers</t>
        </is>
      </c>
      <c r="C31" s="5" t="inlineStr">
        <is>
          <t>Dresser / chest of drawers</t>
        </is>
      </c>
      <c r="D31" s="6" t="n">
        <v>70</v>
      </c>
      <c r="E31" s="7" t="n"/>
      <c r="F31" s="6">
        <f>IF(E31="","",E31-D31)</f>
        <v/>
      </c>
      <c r="G31" s="5" t="inlineStr">
        <is>
          <t>slow</t>
        </is>
      </c>
      <c r="H31" s="15" t="inlineStr">
        <is>
          <t>local only</t>
        </is>
      </c>
      <c r="I31" s="8" t="n"/>
    </row>
    <row r="32">
      <c r="A32" s="14" t="inlineStr">
        <is>
          <t>Price book</t>
        </is>
      </c>
      <c r="B32" s="5" t="inlineStr">
        <is>
          <t>Dining table &amp; chairs</t>
        </is>
      </c>
      <c r="C32" s="5" t="inlineStr">
        <is>
          <t>Dining table &amp; chairs</t>
        </is>
      </c>
      <c r="D32" s="6" t="n">
        <v>120</v>
      </c>
      <c r="E32" s="7" t="n"/>
      <c r="F32" s="6">
        <f>IF(E32="","",E32-D32)</f>
        <v/>
      </c>
      <c r="G32" s="5" t="inlineStr">
        <is>
          <t>slow</t>
        </is>
      </c>
      <c r="H32" s="15" t="inlineStr">
        <is>
          <t>local only</t>
        </is>
      </c>
      <c r="I32" s="8" t="n"/>
    </row>
    <row r="33">
      <c r="A33" s="14" t="inlineStr">
        <is>
          <t>Price book</t>
        </is>
      </c>
      <c r="B33" s="5" t="inlineStr">
        <is>
          <t>TV stand / entertainment center</t>
        </is>
      </c>
      <c r="C33" s="5" t="inlineStr">
        <is>
          <t>TV stand / entertainment center</t>
        </is>
      </c>
      <c r="D33" s="6" t="n">
        <v>40</v>
      </c>
      <c r="E33" s="7" t="n"/>
      <c r="F33" s="6">
        <f>IF(E33="","",E33-D33)</f>
        <v/>
      </c>
      <c r="G33" s="5" t="inlineStr">
        <is>
          <t>slow</t>
        </is>
      </c>
      <c r="H33" s="15" t="inlineStr">
        <is>
          <t>local only</t>
        </is>
      </c>
      <c r="I33" s="8" t="n"/>
    </row>
    <row r="35">
      <c r="C35" s="2" t="inlineStr">
        <is>
          <t>Rows on this sheet</t>
        </is>
      </c>
      <c r="D35" s="2">
        <f>COUNTA(C3:C33)</f>
        <v/>
      </c>
    </row>
    <row r="36">
      <c r="C36" s="2" t="inlineStr">
        <is>
          <t>Ones you changed</t>
        </is>
      </c>
      <c r="D36" s="2">
        <f>COUNT(E3:E33)</f>
        <v/>
      </c>
    </row>
    <row r="38">
      <c r="A38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Instruments</t>
        </is>
      </c>
      <c r="D1" s="9" t="inlineStr">
        <is>
          <t>suggested loan: 35%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m1</t>
        </is>
      </c>
      <c r="C3" s="5" t="inlineStr">
        <is>
          <t>Acoustic guitar</t>
        </is>
      </c>
      <c r="D3" s="6" t="n">
        <v>110</v>
      </c>
      <c r="E3" s="7" t="n"/>
      <c r="F3" s="6">
        <f>IF(E3="","",E3-D3)</f>
        <v/>
      </c>
      <c r="G3" s="5" t="inlineStr">
        <is>
          <t>slow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m2</t>
        </is>
      </c>
      <c r="C4" s="5" t="inlineStr">
        <is>
          <t>Electric guitar</t>
        </is>
      </c>
      <c r="D4" s="6" t="n">
        <v>150</v>
      </c>
      <c r="E4" s="7" t="n"/>
      <c r="F4" s="6">
        <f>IF(E4="","",E4-D4)</f>
        <v/>
      </c>
      <c r="G4" s="5" t="inlineStr">
        <is>
          <t>slow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m3</t>
        </is>
      </c>
      <c r="C5" s="5" t="inlineStr">
        <is>
          <t>Amplifier</t>
        </is>
      </c>
      <c r="D5" s="6" t="n">
        <v>100</v>
      </c>
      <c r="E5" s="7" t="n"/>
      <c r="F5" s="6">
        <f>IF(E5="","",E5-D5)</f>
        <v/>
      </c>
      <c r="G5" s="5" t="inlineStr">
        <is>
          <t>slow</t>
        </is>
      </c>
      <c r="H5" s="5" t="inlineStr">
        <is>
          <t>ships</t>
        </is>
      </c>
      <c r="I5" s="8" t="n"/>
    </row>
    <row r="6">
      <c r="A6" s="14" t="inlineStr">
        <is>
          <t>Price book</t>
        </is>
      </c>
      <c r="B6" s="5" t="inlineStr">
        <is>
          <t>Audio mixer — PA board</t>
        </is>
      </c>
      <c r="C6" s="5" t="inlineStr">
        <is>
          <t>Audio mixer — PA board</t>
        </is>
      </c>
      <c r="D6" s="6" t="n">
        <v>140</v>
      </c>
      <c r="E6" s="7" t="n"/>
      <c r="F6" s="6">
        <f>IF(E6="","",E6-D6)</f>
        <v/>
      </c>
      <c r="G6" s="5" t="inlineStr">
        <is>
          <t>slow</t>
        </is>
      </c>
      <c r="H6" s="5" t="inlineStr">
        <is>
          <t>ships</t>
        </is>
      </c>
      <c r="I6" s="8" t="n"/>
    </row>
    <row r="7">
      <c r="A7" s="14" t="inlineStr">
        <is>
          <t>Price book</t>
        </is>
      </c>
      <c r="B7" s="5" t="inlineStr">
        <is>
          <t>Bass guitar</t>
        </is>
      </c>
      <c r="C7" s="5" t="inlineStr">
        <is>
          <t>Bass guitar</t>
        </is>
      </c>
      <c r="D7" s="6" t="n">
        <v>120</v>
      </c>
      <c r="E7" s="7" t="n"/>
      <c r="F7" s="6">
        <f>IF(E7="","",E7-D7)</f>
        <v/>
      </c>
      <c r="G7" s="5" t="inlineStr">
        <is>
          <t>slow</t>
        </is>
      </c>
      <c r="H7" s="5" t="inlineStr">
        <is>
          <t>ships</t>
        </is>
      </c>
      <c r="I7" s="8" t="n"/>
    </row>
    <row r="8">
      <c r="A8" s="14" t="inlineStr">
        <is>
          <t>Price book</t>
        </is>
      </c>
      <c r="B8" s="5" t="inlineStr">
        <is>
          <t>Keyboard — 61 key</t>
        </is>
      </c>
      <c r="C8" s="5" t="inlineStr">
        <is>
          <t>Keyboard — 61 key</t>
        </is>
      </c>
      <c r="D8" s="6" t="n">
        <v>90</v>
      </c>
      <c r="E8" s="7" t="n"/>
      <c r="F8" s="6">
        <f>IF(E8="","",E8-D8)</f>
        <v/>
      </c>
      <c r="G8" s="5" t="inlineStr">
        <is>
          <t>normal</t>
        </is>
      </c>
      <c r="H8" s="5" t="inlineStr">
        <is>
          <t>ships</t>
        </is>
      </c>
      <c r="I8" s="8" t="n"/>
    </row>
    <row r="9">
      <c r="A9" s="14" t="inlineStr">
        <is>
          <t>Price book</t>
        </is>
      </c>
      <c r="B9" s="5" t="inlineStr">
        <is>
          <t>Digital piano — 88 key</t>
        </is>
      </c>
      <c r="C9" s="5" t="inlineStr">
        <is>
          <t>Digital piano — 88 key</t>
        </is>
      </c>
      <c r="D9" s="6" t="n">
        <v>350</v>
      </c>
      <c r="E9" s="7" t="n"/>
      <c r="F9" s="6">
        <f>IF(E9="","",E9-D9)</f>
        <v/>
      </c>
      <c r="G9" s="5" t="inlineStr">
        <is>
          <t>slow</t>
        </is>
      </c>
      <c r="H9" s="15" t="inlineStr">
        <is>
          <t>local only</t>
        </is>
      </c>
      <c r="I9" s="8" t="n"/>
    </row>
    <row r="10">
      <c r="A10" s="14" t="inlineStr">
        <is>
          <t>Price book</t>
        </is>
      </c>
      <c r="B10" s="5" t="inlineStr">
        <is>
          <t>Banjo</t>
        </is>
      </c>
      <c r="C10" s="5" t="inlineStr">
        <is>
          <t>Banjo</t>
        </is>
      </c>
      <c r="D10" s="6" t="n">
        <v>120</v>
      </c>
      <c r="E10" s="7" t="n"/>
      <c r="F10" s="6">
        <f>IF(E10="","",E10-D10)</f>
        <v/>
      </c>
      <c r="G10" s="5" t="inlineStr">
        <is>
          <t>slow</t>
        </is>
      </c>
      <c r="H10" s="5" t="inlineStr">
        <is>
          <t>ships</t>
        </is>
      </c>
      <c r="I10" s="8" t="n"/>
    </row>
    <row r="11">
      <c r="A11" s="14" t="inlineStr">
        <is>
          <t>Price book</t>
        </is>
      </c>
      <c r="B11" s="5" t="inlineStr">
        <is>
          <t>Mandolin</t>
        </is>
      </c>
      <c r="C11" s="5" t="inlineStr">
        <is>
          <t>Mandolin</t>
        </is>
      </c>
      <c r="D11" s="6" t="n">
        <v>90</v>
      </c>
      <c r="E11" s="7" t="n"/>
      <c r="F11" s="6">
        <f>IF(E11="","",E11-D11)</f>
        <v/>
      </c>
      <c r="G11" s="5" t="inlineStr">
        <is>
          <t>slow</t>
        </is>
      </c>
      <c r="H11" s="5" t="inlineStr">
        <is>
          <t>ships</t>
        </is>
      </c>
      <c r="I11" s="8" t="n"/>
    </row>
    <row r="12">
      <c r="A12" s="14" t="inlineStr">
        <is>
          <t>Price book</t>
        </is>
      </c>
      <c r="B12" s="5" t="inlineStr">
        <is>
          <t>Fiddle / violin</t>
        </is>
      </c>
      <c r="C12" s="5" t="inlineStr">
        <is>
          <t>Fiddle / violin</t>
        </is>
      </c>
      <c r="D12" s="6" t="n">
        <v>100</v>
      </c>
      <c r="E12" s="7" t="n"/>
      <c r="F12" s="6">
        <f>IF(E12="","",E12-D12)</f>
        <v/>
      </c>
      <c r="G12" s="5" t="inlineStr">
        <is>
          <t>slow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Full drum set</t>
        </is>
      </c>
      <c r="C13" s="5" t="inlineStr">
        <is>
          <t>Full drum set</t>
        </is>
      </c>
      <c r="D13" s="6" t="n">
        <v>250</v>
      </c>
      <c r="E13" s="7" t="n"/>
      <c r="F13" s="6">
        <f>IF(E13="","",E13-D13)</f>
        <v/>
      </c>
      <c r="G13" s="5" t="inlineStr">
        <is>
          <t>slow</t>
        </is>
      </c>
      <c r="H13" s="5" t="inlineStr">
        <is>
          <t>ships</t>
        </is>
      </c>
      <c r="I13" s="8" t="n"/>
    </row>
    <row r="14">
      <c r="A14" s="14" t="inlineStr">
        <is>
          <t>Price book</t>
        </is>
      </c>
      <c r="B14" s="5" t="inlineStr">
        <is>
          <t>Vocal mic — SM58 class</t>
        </is>
      </c>
      <c r="C14" s="5" t="inlineStr">
        <is>
          <t>Vocal mic — SM58 class</t>
        </is>
      </c>
      <c r="D14" s="6" t="n">
        <v>60</v>
      </c>
      <c r="E14" s="7" t="n"/>
      <c r="F14" s="6">
        <f>IF(E14="","",E14-D14)</f>
        <v/>
      </c>
      <c r="G14" s="5" t="inlineStr">
        <is>
          <t>normal</t>
        </is>
      </c>
      <c r="H14" s="5" t="inlineStr">
        <is>
          <t>ships</t>
        </is>
      </c>
      <c r="I14" s="8" t="n"/>
    </row>
    <row r="15">
      <c r="A15" s="14" t="inlineStr">
        <is>
          <t>Price book</t>
        </is>
      </c>
      <c r="B15" s="5" t="inlineStr">
        <is>
          <t>Powered PA speaker</t>
        </is>
      </c>
      <c r="C15" s="5" t="inlineStr">
        <is>
          <t>Powered PA speaker</t>
        </is>
      </c>
      <c r="D15" s="6" t="n">
        <v>150</v>
      </c>
      <c r="E15" s="7" t="n"/>
      <c r="F15" s="6">
        <f>IF(E15="","",E15-D15)</f>
        <v/>
      </c>
      <c r="G15" s="5" t="inlineStr">
        <is>
          <t>normal</t>
        </is>
      </c>
      <c r="H15" s="5" t="inlineStr">
        <is>
          <t>ships</t>
        </is>
      </c>
      <c r="I15" s="8" t="n"/>
    </row>
    <row r="16">
      <c r="A16" s="14" t="inlineStr">
        <is>
          <t>Price book</t>
        </is>
      </c>
      <c r="B16" s="5" t="inlineStr">
        <is>
          <t>Guitar pedal</t>
        </is>
      </c>
      <c r="C16" s="5" t="inlineStr">
        <is>
          <t>Guitar pedal</t>
        </is>
      </c>
      <c r="D16" s="6" t="n">
        <v>50</v>
      </c>
      <c r="E16" s="7" t="n"/>
      <c r="F16" s="6">
        <f>IF(E16="","",E16-D16)</f>
        <v/>
      </c>
      <c r="G16" s="5" t="inlineStr">
        <is>
          <t>normal</t>
        </is>
      </c>
      <c r="H16" s="5" t="inlineStr">
        <is>
          <t>ships</t>
        </is>
      </c>
      <c r="I16" s="8" t="n"/>
    </row>
    <row r="17">
      <c r="A17" s="14" t="inlineStr">
        <is>
          <t>Price book</t>
        </is>
      </c>
      <c r="B17" s="5" t="inlineStr">
        <is>
          <t>Trumpet</t>
        </is>
      </c>
      <c r="C17" s="5" t="inlineStr">
        <is>
          <t>Trumpet</t>
        </is>
      </c>
      <c r="D17" s="6" t="n">
        <v>180</v>
      </c>
      <c r="E17" s="7" t="n"/>
      <c r="F17" s="6">
        <f>IF(E17="","",E17-D17)</f>
        <v/>
      </c>
      <c r="G17" s="5" t="inlineStr">
        <is>
          <t>slow</t>
        </is>
      </c>
      <c r="H17" s="5" t="inlineStr">
        <is>
          <t>ships</t>
        </is>
      </c>
      <c r="I17" s="8" t="n"/>
    </row>
    <row r="18">
      <c r="A18" s="14" t="inlineStr">
        <is>
          <t>Price book</t>
        </is>
      </c>
      <c r="B18" s="5" t="inlineStr">
        <is>
          <t>Alto saxophone</t>
        </is>
      </c>
      <c r="C18" s="5" t="inlineStr">
        <is>
          <t>Alto saxophone</t>
        </is>
      </c>
      <c r="D18" s="6" t="n">
        <v>400</v>
      </c>
      <c r="E18" s="7" t="n"/>
      <c r="F18" s="6">
        <f>IF(E18="","",E18-D18)</f>
        <v/>
      </c>
      <c r="G18" s="5" t="inlineStr">
        <is>
          <t>slow</t>
        </is>
      </c>
      <c r="H18" s="5" t="inlineStr">
        <is>
          <t>ships</t>
        </is>
      </c>
      <c r="I18" s="8" t="n"/>
    </row>
    <row r="19">
      <c r="A19" s="14" t="inlineStr">
        <is>
          <t>Price book</t>
        </is>
      </c>
      <c r="B19" s="5" t="inlineStr">
        <is>
          <t>Clarinet</t>
        </is>
      </c>
      <c r="C19" s="5" t="inlineStr">
        <is>
          <t>Clarinet</t>
        </is>
      </c>
      <c r="D19" s="6" t="n">
        <v>80</v>
      </c>
      <c r="E19" s="7" t="n"/>
      <c r="F19" s="6">
        <f>IF(E19="","",E19-D19)</f>
        <v/>
      </c>
      <c r="G19" s="5" t="inlineStr">
        <is>
          <t>slow</t>
        </is>
      </c>
      <c r="H19" s="5" t="inlineStr">
        <is>
          <t>ships</t>
        </is>
      </c>
      <c r="I19" s="8" t="n"/>
    </row>
    <row r="20">
      <c r="A20" s="14" t="inlineStr">
        <is>
          <t>Price book</t>
        </is>
      </c>
      <c r="B20" s="5" t="inlineStr">
        <is>
          <t>Flute</t>
        </is>
      </c>
      <c r="C20" s="5" t="inlineStr">
        <is>
          <t>Flute</t>
        </is>
      </c>
      <c r="D20" s="6" t="n">
        <v>80</v>
      </c>
      <c r="E20" s="7" t="n"/>
      <c r="F20" s="6">
        <f>IF(E20="","",E20-D20)</f>
        <v/>
      </c>
      <c r="G20" s="5" t="inlineStr">
        <is>
          <t>slow</t>
        </is>
      </c>
      <c r="H20" s="5" t="inlineStr">
        <is>
          <t>ships</t>
        </is>
      </c>
      <c r="I20" s="8" t="n"/>
    </row>
    <row r="21">
      <c r="A21" s="14" t="inlineStr">
        <is>
          <t>Price book</t>
        </is>
      </c>
      <c r="B21" s="5" t="inlineStr">
        <is>
          <t>Trombone</t>
        </is>
      </c>
      <c r="C21" s="5" t="inlineStr">
        <is>
          <t>Trombone</t>
        </is>
      </c>
      <c r="D21" s="6" t="n">
        <v>150</v>
      </c>
      <c r="E21" s="7" t="n"/>
      <c r="F21" s="6">
        <f>IF(E21="","",E21-D21)</f>
        <v/>
      </c>
      <c r="G21" s="5" t="inlineStr">
        <is>
          <t>slow</t>
        </is>
      </c>
      <c r="H21" s="5" t="inlineStr">
        <is>
          <t>ships</t>
        </is>
      </c>
      <c r="I21" s="8" t="n"/>
    </row>
    <row r="22">
      <c r="A22" s="14" t="inlineStr">
        <is>
          <t>Price book</t>
        </is>
      </c>
      <c r="B22" s="5" t="inlineStr">
        <is>
          <t>French horn</t>
        </is>
      </c>
      <c r="C22" s="5" t="inlineStr">
        <is>
          <t>French horn</t>
        </is>
      </c>
      <c r="D22" s="6" t="n">
        <v>300</v>
      </c>
      <c r="E22" s="7" t="n"/>
      <c r="F22" s="6">
        <f>IF(E22="","",E22-D22)</f>
        <v/>
      </c>
      <c r="G22" s="5" t="inlineStr">
        <is>
          <t>slow</t>
        </is>
      </c>
      <c r="H22" s="5" t="inlineStr">
        <is>
          <t>ships</t>
        </is>
      </c>
      <c r="I22" s="8" t="n"/>
    </row>
    <row r="23">
      <c r="A23" s="14" t="inlineStr">
        <is>
          <t>Price book</t>
        </is>
      </c>
      <c r="B23" s="5" t="inlineStr">
        <is>
          <t>Cello</t>
        </is>
      </c>
      <c r="C23" s="5" t="inlineStr">
        <is>
          <t>Cello</t>
        </is>
      </c>
      <c r="D23" s="6" t="n">
        <v>300</v>
      </c>
      <c r="E23" s="7" t="n"/>
      <c r="F23" s="6">
        <f>IF(E23="","",E23-D23)</f>
        <v/>
      </c>
      <c r="G23" s="5" t="inlineStr">
        <is>
          <t>slow</t>
        </is>
      </c>
      <c r="H23" s="5" t="inlineStr">
        <is>
          <t>ships</t>
        </is>
      </c>
      <c r="I23" s="8" t="n"/>
    </row>
    <row r="24">
      <c r="A24" s="14" t="inlineStr">
        <is>
          <t>Price book</t>
        </is>
      </c>
      <c r="B24" s="5" t="inlineStr">
        <is>
          <t>Ukulele</t>
        </is>
      </c>
      <c r="C24" s="5" t="inlineStr">
        <is>
          <t>Ukulele</t>
        </is>
      </c>
      <c r="D24" s="6" t="n">
        <v>40</v>
      </c>
      <c r="E24" s="7" t="n"/>
      <c r="F24" s="6">
        <f>IF(E24="","",E24-D24)</f>
        <v/>
      </c>
      <c r="G24" s="5" t="inlineStr">
        <is>
          <t>normal</t>
        </is>
      </c>
      <c r="H24" s="5" t="inlineStr">
        <is>
          <t>ships</t>
        </is>
      </c>
      <c r="I24" s="8" t="n"/>
    </row>
    <row r="26">
      <c r="C26" s="2" t="inlineStr">
        <is>
          <t>Rows on this sheet</t>
        </is>
      </c>
      <c r="D26" s="2">
        <f>COUNTA(C3:C24)</f>
        <v/>
      </c>
    </row>
    <row r="27">
      <c r="C27" s="2" t="inlineStr">
        <is>
          <t>Ones you changed</t>
        </is>
      </c>
      <c r="D27" s="2">
        <f>COUNT(E3:E24)</f>
        <v/>
      </c>
    </row>
    <row r="29">
      <c r="A29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Jewelry &amp; watches</t>
        </is>
      </c>
      <c r="D1" s="9" t="inlineStr">
        <is>
          <t>suggested loan: 40%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j1</t>
        </is>
      </c>
      <c r="C3" s="5" t="inlineStr">
        <is>
          <t>Watch — luxury</t>
        </is>
      </c>
      <c r="D3" s="6" t="n">
        <v>1800</v>
      </c>
      <c r="E3" s="7" t="n"/>
      <c r="F3" s="6">
        <f>IF(E3="","",E3-D3)</f>
        <v/>
      </c>
      <c r="G3" s="5" t="inlineStr">
        <is>
          <t>slow</t>
        </is>
      </c>
      <c r="H3" s="5" t="inlineStr">
        <is>
          <t>use the scale</t>
        </is>
      </c>
      <c r="I3" s="8" t="n"/>
    </row>
    <row r="4">
      <c r="A4" s="14" t="inlineStr">
        <is>
          <t>List item</t>
        </is>
      </c>
      <c r="B4" s="5" t="inlineStr">
        <is>
          <t>j2</t>
        </is>
      </c>
      <c r="C4" s="5" t="inlineStr">
        <is>
          <t>Watch — name brand</t>
        </is>
      </c>
      <c r="D4" s="6" t="n">
        <v>120</v>
      </c>
      <c r="E4" s="7" t="n"/>
      <c r="F4" s="6">
        <f>IF(E4="","",E4-D4)</f>
        <v/>
      </c>
      <c r="G4" s="5" t="inlineStr">
        <is>
          <t>normal</t>
        </is>
      </c>
      <c r="H4" s="5" t="inlineStr">
        <is>
          <t>use the scale</t>
        </is>
      </c>
      <c r="I4" s="8" t="n"/>
    </row>
    <row r="5">
      <c r="A5" s="14" t="inlineStr">
        <is>
          <t>List item</t>
        </is>
      </c>
      <c r="B5" s="5" t="inlineStr">
        <is>
          <t>j3</t>
        </is>
      </c>
      <c r="C5" s="5" t="inlineStr">
        <is>
          <t>Designer jewelry piece</t>
        </is>
      </c>
      <c r="D5" s="6" t="n">
        <v>150</v>
      </c>
      <c r="E5" s="7" t="n"/>
      <c r="F5" s="6">
        <f>IF(E5="","",E5-D5)</f>
        <v/>
      </c>
      <c r="G5" s="5" t="inlineStr">
        <is>
          <t>slow</t>
        </is>
      </c>
      <c r="H5" s="5" t="inlineStr">
        <is>
          <t>use the scale</t>
        </is>
      </c>
      <c r="I5" s="8" t="n"/>
    </row>
    <row r="6">
      <c r="A6" s="14" t="inlineStr">
        <is>
          <t>List item</t>
        </is>
      </c>
      <c r="B6" s="5" t="inlineStr">
        <is>
          <t>j4</t>
        </is>
      </c>
      <c r="C6" s="5" t="inlineStr">
        <is>
          <t>Engagement / bridal set</t>
        </is>
      </c>
      <c r="D6" s="6" t="n">
        <v>400</v>
      </c>
      <c r="E6" s="7" t="n"/>
      <c r="F6" s="6">
        <f>IF(E6="","",E6-D6)</f>
        <v/>
      </c>
      <c r="G6" s="5" t="inlineStr">
        <is>
          <t>slow</t>
        </is>
      </c>
      <c r="H6" s="5" t="inlineStr">
        <is>
          <t>use the scale</t>
        </is>
      </c>
      <c r="I6" s="8" t="n"/>
    </row>
    <row r="7">
      <c r="A7" s="14" t="inlineStr">
        <is>
          <t>Price book</t>
        </is>
      </c>
      <c r="B7" s="5" t="inlineStr">
        <is>
          <t>Wristwatch — quartz, name brand</t>
        </is>
      </c>
      <c r="C7" s="5" t="inlineStr">
        <is>
          <t>Wristwatch — quartz, name brand</t>
        </is>
      </c>
      <c r="D7" s="6" t="n">
        <v>60</v>
      </c>
      <c r="E7" s="7" t="n"/>
      <c r="F7" s="6">
        <f>IF(E7="","",E7-D7)</f>
        <v/>
      </c>
      <c r="G7" s="5" t="inlineStr">
        <is>
          <t>slow</t>
        </is>
      </c>
      <c r="H7" s="5" t="inlineStr">
        <is>
          <t>use the scale</t>
        </is>
      </c>
      <c r="I7" s="8" t="n"/>
    </row>
    <row r="9">
      <c r="C9" s="2" t="inlineStr">
        <is>
          <t>Rows on this sheet</t>
        </is>
      </c>
      <c r="D9" s="2">
        <f>COUNTA(C3:C7)</f>
        <v/>
      </c>
    </row>
    <row r="10">
      <c r="C10" s="2" t="inlineStr">
        <is>
          <t>Ones you changed</t>
        </is>
      </c>
      <c r="D10" s="2">
        <f>COUNT(E3:E7)</f>
        <v/>
      </c>
    </row>
    <row r="12">
      <c r="A12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Fitness &amp; sporting</t>
        </is>
      </c>
      <c r="D1" s="9" t="inlineStr">
        <is>
          <t>suggested loan: 25%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f1</t>
        </is>
      </c>
      <c r="C3" s="5" t="inlineStr">
        <is>
          <t>Treadmill</t>
        </is>
      </c>
      <c r="D3" s="6" t="n">
        <v>300</v>
      </c>
      <c r="E3" s="7" t="n"/>
      <c r="F3" s="6">
        <f>IF(E3="","",E3-D3)</f>
        <v/>
      </c>
      <c r="G3" s="5" t="inlineStr">
        <is>
          <t>slow</t>
        </is>
      </c>
      <c r="H3" s="15" t="inlineStr">
        <is>
          <t>local only</t>
        </is>
      </c>
      <c r="I3" s="8" t="n"/>
    </row>
    <row r="4">
      <c r="A4" s="14" t="inlineStr">
        <is>
          <t>List item</t>
        </is>
      </c>
      <c r="B4" s="5" t="inlineStr">
        <is>
          <t>f2</t>
        </is>
      </c>
      <c r="C4" s="5" t="inlineStr">
        <is>
          <t>Exercise bike / spin bike</t>
        </is>
      </c>
      <c r="D4" s="6" t="n">
        <v>150</v>
      </c>
      <c r="E4" s="7" t="n"/>
      <c r="F4" s="6">
        <f>IF(E4="","",E4-D4)</f>
        <v/>
      </c>
      <c r="G4" s="5" t="inlineStr">
        <is>
          <t>slow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f3</t>
        </is>
      </c>
      <c r="C5" s="5" t="inlineStr">
        <is>
          <t>Elliptical</t>
        </is>
      </c>
      <c r="D5" s="6" t="n">
        <v>150</v>
      </c>
      <c r="E5" s="7" t="n"/>
      <c r="F5" s="6">
        <f>IF(E5="","",E5-D5)</f>
        <v/>
      </c>
      <c r="G5" s="5" t="inlineStr">
        <is>
          <t>slow</t>
        </is>
      </c>
      <c r="H5" s="15" t="inlineStr">
        <is>
          <t>local only</t>
        </is>
      </c>
      <c r="I5" s="8" t="n"/>
    </row>
    <row r="6">
      <c r="A6" s="14" t="inlineStr">
        <is>
          <t>List item</t>
        </is>
      </c>
      <c r="B6" s="5" t="inlineStr">
        <is>
          <t>f4</t>
        </is>
      </c>
      <c r="C6" s="5" t="inlineStr">
        <is>
          <t>Weight bench</t>
        </is>
      </c>
      <c r="D6" s="6" t="n">
        <v>60</v>
      </c>
      <c r="E6" s="7" t="n"/>
      <c r="F6" s="6">
        <f>IF(E6="","",E6-D6)</f>
        <v/>
      </c>
      <c r="G6" s="5" t="inlineStr">
        <is>
          <t>normal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f5</t>
        </is>
      </c>
      <c r="C7" s="5" t="inlineStr">
        <is>
          <t>Dumbbells / weight set</t>
        </is>
      </c>
      <c r="D7" s="6" t="n">
        <v>70</v>
      </c>
      <c r="E7" s="7" t="n"/>
      <c r="F7" s="6">
        <f>IF(E7="","",E7-D7)</f>
        <v/>
      </c>
      <c r="G7" s="5" t="inlineStr">
        <is>
          <t>fast</t>
        </is>
      </c>
      <c r="H7" s="15" t="inlineStr">
        <is>
          <t>local only</t>
        </is>
      </c>
      <c r="I7" s="8" t="n"/>
    </row>
    <row r="8">
      <c r="A8" s="14" t="inlineStr">
        <is>
          <t>List item</t>
        </is>
      </c>
      <c r="B8" s="5" t="inlineStr">
        <is>
          <t>f6</t>
        </is>
      </c>
      <c r="C8" s="5" t="inlineStr">
        <is>
          <t>Home gym / power rack</t>
        </is>
      </c>
      <c r="D8" s="6" t="n">
        <v>200</v>
      </c>
      <c r="E8" s="7" t="n"/>
      <c r="F8" s="6">
        <f>IF(E8="","",E8-D8)</f>
        <v/>
      </c>
      <c r="G8" s="5" t="inlineStr">
        <is>
          <t>slow</t>
        </is>
      </c>
      <c r="H8" s="15" t="inlineStr">
        <is>
          <t>local only</t>
        </is>
      </c>
      <c r="I8" s="8" t="n"/>
    </row>
    <row r="9">
      <c r="A9" s="14" t="inlineStr">
        <is>
          <t>List item</t>
        </is>
      </c>
      <c r="B9" s="5" t="inlineStr">
        <is>
          <t>f7</t>
        </is>
      </c>
      <c r="C9" s="5" t="inlineStr">
        <is>
          <t>Golf clubs — full set</t>
        </is>
      </c>
      <c r="D9" s="6" t="n">
        <v>150</v>
      </c>
      <c r="E9" s="7" t="n"/>
      <c r="F9" s="6">
        <f>IF(E9="","",E9-D9)</f>
        <v/>
      </c>
      <c r="G9" s="5" t="inlineStr">
        <is>
          <t>normal</t>
        </is>
      </c>
      <c r="H9" s="5" t="inlineStr">
        <is>
          <t>ships</t>
        </is>
      </c>
      <c r="I9" s="8" t="n"/>
    </row>
    <row r="10">
      <c r="A10" s="14" t="inlineStr">
        <is>
          <t>Price book</t>
        </is>
      </c>
      <c r="B10" s="5" t="inlineStr">
        <is>
          <t>Bowling ball</t>
        </is>
      </c>
      <c r="C10" s="5" t="inlineStr">
        <is>
          <t>Bowling ball</t>
        </is>
      </c>
      <c r="D10" s="6" t="n">
        <v>20</v>
      </c>
      <c r="E10" s="7" t="n"/>
      <c r="F10" s="6">
        <f>IF(E10="","",E10-D10)</f>
        <v/>
      </c>
      <c r="G10" s="5" t="inlineStr">
        <is>
          <t>slow</t>
        </is>
      </c>
      <c r="H10" s="5" t="inlineStr">
        <is>
          <t>ships</t>
        </is>
      </c>
      <c r="I10" s="8" t="n"/>
    </row>
    <row r="11">
      <c r="A11" s="14" t="inlineStr">
        <is>
          <t>Price book</t>
        </is>
      </c>
      <c r="B11" s="5" t="inlineStr">
        <is>
          <t>Skateboard</t>
        </is>
      </c>
      <c r="C11" s="5" t="inlineStr">
        <is>
          <t>Skateboard</t>
        </is>
      </c>
      <c r="D11" s="6" t="n">
        <v>40</v>
      </c>
      <c r="E11" s="7" t="n"/>
      <c r="F11" s="6">
        <f>IF(E11="","",E11-D11)</f>
        <v/>
      </c>
      <c r="G11" s="5" t="inlineStr">
        <is>
          <t>normal</t>
        </is>
      </c>
      <c r="H11" s="5" t="inlineStr">
        <is>
          <t>ships</t>
        </is>
      </c>
      <c r="I11" s="8" t="n"/>
    </row>
    <row r="12">
      <c r="A12" s="14" t="inlineStr">
        <is>
          <t>Price book</t>
        </is>
      </c>
      <c r="B12" s="5" t="inlineStr">
        <is>
          <t>Surfboard</t>
        </is>
      </c>
      <c r="C12" s="5" t="inlineStr">
        <is>
          <t>Surfboard</t>
        </is>
      </c>
      <c r="D12" s="6" t="n">
        <v>150</v>
      </c>
      <c r="E12" s="7" t="n"/>
      <c r="F12" s="6">
        <f>IF(E12="","",E12-D12)</f>
        <v/>
      </c>
      <c r="G12" s="5" t="inlineStr">
        <is>
          <t>slow</t>
        </is>
      </c>
      <c r="H12" s="5" t="inlineStr">
        <is>
          <t>ships</t>
        </is>
      </c>
      <c r="I12" s="8" t="n"/>
    </row>
    <row r="13">
      <c r="A13" s="14" t="inlineStr">
        <is>
          <t>Price book</t>
        </is>
      </c>
      <c r="B13" s="5" t="inlineStr">
        <is>
          <t>Paddle board — SUP</t>
        </is>
      </c>
      <c r="C13" s="5" t="inlineStr">
        <is>
          <t>Paddle board — SUP</t>
        </is>
      </c>
      <c r="D13" s="6" t="n">
        <v>250</v>
      </c>
      <c r="E13" s="7" t="n"/>
      <c r="F13" s="6">
        <f>IF(E13="","",E13-D13)</f>
        <v/>
      </c>
      <c r="G13" s="5" t="inlineStr">
        <is>
          <t>normal</t>
        </is>
      </c>
      <c r="H13" s="5" t="inlineStr">
        <is>
          <t>ships</t>
        </is>
      </c>
      <c r="I13" s="8" t="n"/>
    </row>
    <row r="15">
      <c r="C15" s="2" t="inlineStr">
        <is>
          <t>Rows on this sheet</t>
        </is>
      </c>
      <c r="D15" s="2">
        <f>COUNTA(C3:C13)</f>
        <v/>
      </c>
    </row>
    <row r="16">
      <c r="C16" s="2" t="inlineStr">
        <is>
          <t>Ones you changed</t>
        </is>
      </c>
      <c r="D16" s="2">
        <f>COUNT(E3:E13)</f>
        <v/>
      </c>
    </row>
    <row r="18">
      <c r="A18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Cards, coins &amp; collectibles</t>
        </is>
      </c>
      <c r="D1" s="9" t="inlineStr">
        <is>
          <t>suggested loan: 40%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c1</t>
        </is>
      </c>
      <c r="C3" s="5" t="inlineStr">
        <is>
          <t>Sports card — graded single</t>
        </is>
      </c>
      <c r="D3" s="6" t="n">
        <v>60</v>
      </c>
      <c r="E3" s="7" t="n"/>
      <c r="F3" s="6">
        <f>IF(E3="","",E3-D3)</f>
        <v/>
      </c>
      <c r="G3" s="5" t="inlineStr">
        <is>
          <t>slow</t>
        </is>
      </c>
      <c r="H3" s="5" t="inlineStr">
        <is>
          <t>ships</t>
        </is>
      </c>
      <c r="I3" s="8" t="n"/>
    </row>
    <row r="4">
      <c r="A4" s="14" t="inlineStr">
        <is>
          <t>List item</t>
        </is>
      </c>
      <c r="B4" s="5" t="inlineStr">
        <is>
          <t>c2</t>
        </is>
      </c>
      <c r="C4" s="5" t="inlineStr">
        <is>
          <t>Card lot — sports or Pokémon</t>
        </is>
      </c>
      <c r="D4" s="6" t="n">
        <v>60</v>
      </c>
      <c r="E4" s="7" t="n"/>
      <c r="F4" s="6">
        <f>IF(E4="","",E4-D4)</f>
        <v/>
      </c>
      <c r="G4" s="5" t="inlineStr">
        <is>
          <t>slow</t>
        </is>
      </c>
      <c r="H4" s="5" t="inlineStr">
        <is>
          <t>ships</t>
        </is>
      </c>
      <c r="I4" s="8" t="n"/>
    </row>
    <row r="5">
      <c r="A5" s="14" t="inlineStr">
        <is>
          <t>List item</t>
        </is>
      </c>
      <c r="B5" s="5" t="inlineStr">
        <is>
          <t>c3</t>
        </is>
      </c>
      <c r="C5" s="5" t="inlineStr">
        <is>
          <t>Comic books — long box</t>
        </is>
      </c>
      <c r="D5" s="6" t="n">
        <v>80</v>
      </c>
      <c r="E5" s="7" t="n"/>
      <c r="F5" s="6">
        <f>IF(E5="","",E5-D5)</f>
        <v/>
      </c>
      <c r="G5" s="5" t="inlineStr">
        <is>
          <t>slow</t>
        </is>
      </c>
      <c r="H5" s="5" t="inlineStr">
        <is>
          <t>ships</t>
        </is>
      </c>
      <c r="I5" s="8" t="n"/>
    </row>
    <row r="6">
      <c r="A6" s="14" t="inlineStr">
        <is>
          <t>List item</t>
        </is>
      </c>
      <c r="B6" s="5" t="inlineStr">
        <is>
          <t>c4</t>
        </is>
      </c>
      <c r="C6" s="5" t="inlineStr">
        <is>
          <t>Coin collection — numismatic</t>
        </is>
      </c>
      <c r="D6" s="6" t="n">
        <v>150</v>
      </c>
      <c r="E6" s="7" t="n"/>
      <c r="F6" s="6">
        <f>IF(E6="","",E6-D6)</f>
        <v/>
      </c>
      <c r="G6" s="5" t="inlineStr">
        <is>
          <t>slow</t>
        </is>
      </c>
      <c r="H6" s="5" t="inlineStr">
        <is>
          <t>ships</t>
        </is>
      </c>
      <c r="I6" s="8" t="n"/>
    </row>
    <row r="7">
      <c r="A7" s="14" t="inlineStr">
        <is>
          <t>List item</t>
        </is>
      </c>
      <c r="B7" s="5" t="inlineStr">
        <is>
          <t>c5</t>
        </is>
      </c>
      <c r="C7" s="5" t="inlineStr">
        <is>
          <t>Zippo / collectible lighter</t>
        </is>
      </c>
      <c r="D7" s="6" t="n">
        <v>20</v>
      </c>
      <c r="E7" s="7" t="n"/>
      <c r="F7" s="6">
        <f>IF(E7="","",E7-D7)</f>
        <v/>
      </c>
      <c r="G7" s="5" t="inlineStr">
        <is>
          <t>slow</t>
        </is>
      </c>
      <c r="H7" s="5" t="inlineStr">
        <is>
          <t>ships</t>
        </is>
      </c>
      <c r="I7" s="8" t="n"/>
    </row>
    <row r="9">
      <c r="C9" s="2" t="inlineStr">
        <is>
          <t>Rows on this sheet</t>
        </is>
      </c>
      <c r="D9" s="2">
        <f>COUNTA(C3:C7)</f>
        <v/>
      </c>
    </row>
    <row r="10">
      <c r="C10" s="2" t="inlineStr">
        <is>
          <t>Ones you changed</t>
        </is>
      </c>
      <c r="D10" s="2">
        <f>COUNT(E3:E7)</f>
        <v/>
      </c>
    </row>
    <row r="12">
      <c r="A12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14" customWidth="1" min="5" max="5"/>
    <col width="11" customWidth="1" min="6" max="6"/>
    <col width="9" customWidth="1" min="7" max="7"/>
    <col width="13" customWidth="1" min="8" max="8"/>
    <col width="42" customWidth="1" min="9" max="9"/>
  </cols>
  <sheetData>
    <row r="1">
      <c r="A1" s="12" t="inlineStr">
        <is>
          <t>Trailers &amp; ATVs</t>
        </is>
      </c>
      <c r="D1" s="9" t="inlineStr">
        <is>
          <t>suggested loan: 35% of resale</t>
        </is>
      </c>
    </row>
    <row r="2">
      <c r="A2" s="13" t="inlineStr">
        <is>
          <t>Kind</t>
        </is>
      </c>
      <c r="B2" s="13" t="inlineStr">
        <is>
          <t>Key</t>
        </is>
      </c>
      <c r="C2" s="13" t="inlineStr">
        <is>
          <t>Item</t>
        </is>
      </c>
      <c r="D2" s="13" t="inlineStr">
        <is>
          <t>Resale now $</t>
        </is>
      </c>
      <c r="E2" s="13" t="inlineStr">
        <is>
          <t>YOUR VALUE $</t>
        </is>
      </c>
      <c r="F2" s="13" t="inlineStr">
        <is>
          <t>Difference</t>
        </is>
      </c>
      <c r="G2" s="13" t="inlineStr">
        <is>
          <t>Sells</t>
        </is>
      </c>
      <c r="H2" s="13" t="inlineStr">
        <is>
          <t>Market</t>
        </is>
      </c>
      <c r="I2" s="13" t="inlineStr">
        <is>
          <t>YOUR NOTES</t>
        </is>
      </c>
    </row>
    <row r="3">
      <c r="A3" s="14" t="inlineStr">
        <is>
          <t>List item</t>
        </is>
      </c>
      <c r="B3" s="5" t="inlineStr">
        <is>
          <t>r1</t>
        </is>
      </c>
      <c r="C3" s="5" t="inlineStr">
        <is>
          <t>Utility trailer — 5x8</t>
        </is>
      </c>
      <c r="D3" s="6" t="n">
        <v>600</v>
      </c>
      <c r="E3" s="7" t="n"/>
      <c r="F3" s="6">
        <f>IF(E3="","",E3-D3)</f>
        <v/>
      </c>
      <c r="G3" s="5" t="inlineStr">
        <is>
          <t>normal</t>
        </is>
      </c>
      <c r="H3" s="15" t="inlineStr">
        <is>
          <t>local only</t>
        </is>
      </c>
      <c r="I3" s="8" t="n"/>
    </row>
    <row r="4">
      <c r="A4" s="14" t="inlineStr">
        <is>
          <t>List item</t>
        </is>
      </c>
      <c r="B4" s="5" t="inlineStr">
        <is>
          <t>r2</t>
        </is>
      </c>
      <c r="C4" s="5" t="inlineStr">
        <is>
          <t>ATV / four wheeler</t>
        </is>
      </c>
      <c r="D4" s="6" t="n">
        <v>1500</v>
      </c>
      <c r="E4" s="7" t="n"/>
      <c r="F4" s="6">
        <f>IF(E4="","",E4-D4)</f>
        <v/>
      </c>
      <c r="G4" s="5" t="inlineStr">
        <is>
          <t>normal</t>
        </is>
      </c>
      <c r="H4" s="15" t="inlineStr">
        <is>
          <t>local only</t>
        </is>
      </c>
      <c r="I4" s="8" t="n"/>
    </row>
    <row r="5">
      <c r="A5" s="14" t="inlineStr">
        <is>
          <t>Price book</t>
        </is>
      </c>
      <c r="B5" s="5" t="inlineStr">
        <is>
          <t>Golf cart</t>
        </is>
      </c>
      <c r="C5" s="5" t="inlineStr">
        <is>
          <t>Golf cart</t>
        </is>
      </c>
      <c r="D5" s="6" t="n">
        <v>4000</v>
      </c>
      <c r="E5" s="7" t="n"/>
      <c r="F5" s="6">
        <f>IF(E5="","",E5-D5)</f>
        <v/>
      </c>
      <c r="G5" s="5" t="inlineStr">
        <is>
          <t>normal</t>
        </is>
      </c>
      <c r="H5" s="15" t="inlineStr">
        <is>
          <t>local only</t>
        </is>
      </c>
      <c r="I5" s="8" t="n"/>
    </row>
    <row r="6">
      <c r="A6" s="14" t="inlineStr">
        <is>
          <t>Price book</t>
        </is>
      </c>
      <c r="B6" s="5" t="inlineStr">
        <is>
          <t>Dirt bike</t>
        </is>
      </c>
      <c r="C6" s="5" t="inlineStr">
        <is>
          <t>Dirt bike</t>
        </is>
      </c>
      <c r="D6" s="6" t="n">
        <v>1500</v>
      </c>
      <c r="E6" s="7" t="n"/>
      <c r="F6" s="6">
        <f>IF(E6="","",E6-D6)</f>
        <v/>
      </c>
      <c r="G6" s="5" t="inlineStr">
        <is>
          <t>normal</t>
        </is>
      </c>
      <c r="H6" s="15" t="inlineStr">
        <is>
          <t>local only</t>
        </is>
      </c>
      <c r="I6" s="8" t="n"/>
    </row>
    <row r="7">
      <c r="A7" s="14" t="inlineStr">
        <is>
          <t>Price book</t>
        </is>
      </c>
      <c r="B7" s="5" t="inlineStr">
        <is>
          <t>Go-kart</t>
        </is>
      </c>
      <c r="C7" s="5" t="inlineStr">
        <is>
          <t>Go-kart</t>
        </is>
      </c>
      <c r="D7" s="6" t="n">
        <v>400</v>
      </c>
      <c r="E7" s="7" t="n"/>
      <c r="F7" s="6">
        <f>IF(E7="","",E7-D7)</f>
        <v/>
      </c>
      <c r="G7" s="5" t="inlineStr">
        <is>
          <t>slow</t>
        </is>
      </c>
      <c r="H7" s="15" t="inlineStr">
        <is>
          <t>local only</t>
        </is>
      </c>
      <c r="I7" s="8" t="n"/>
    </row>
    <row r="8">
      <c r="A8" s="14" t="inlineStr">
        <is>
          <t>Price book</t>
        </is>
      </c>
      <c r="B8" s="5" t="inlineStr">
        <is>
          <t>Lawn / dump trailer cart</t>
        </is>
      </c>
      <c r="C8" s="5" t="inlineStr">
        <is>
          <t>Lawn / dump trailer cart</t>
        </is>
      </c>
      <c r="D8" s="6" t="n">
        <v>120</v>
      </c>
      <c r="E8" s="7" t="n"/>
      <c r="F8" s="6">
        <f>IF(E8="","",E8-D8)</f>
        <v/>
      </c>
      <c r="G8" s="5" t="inlineStr">
        <is>
          <t>fast</t>
        </is>
      </c>
      <c r="H8" s="15" t="inlineStr">
        <is>
          <t>local only</t>
        </is>
      </c>
      <c r="I8" s="8" t="n"/>
    </row>
    <row r="9">
      <c r="A9" s="14" t="inlineStr">
        <is>
          <t>Price book</t>
        </is>
      </c>
      <c r="B9" s="5" t="inlineStr">
        <is>
          <t>Enclosed trailer — 6x12</t>
        </is>
      </c>
      <c r="C9" s="5" t="inlineStr">
        <is>
          <t>Enclosed trailer — 6x12</t>
        </is>
      </c>
      <c r="D9" s="6" t="n">
        <v>2800</v>
      </c>
      <c r="E9" s="7" t="n"/>
      <c r="F9" s="6">
        <f>IF(E9="","",E9-D9)</f>
        <v/>
      </c>
      <c r="G9" s="5" t="inlineStr">
        <is>
          <t>slow</t>
        </is>
      </c>
      <c r="H9" s="15" t="inlineStr">
        <is>
          <t>local only</t>
        </is>
      </c>
      <c r="I9" s="8" t="n"/>
    </row>
    <row r="10">
      <c r="A10" s="14" t="inlineStr">
        <is>
          <t>Price book</t>
        </is>
      </c>
      <c r="B10" s="5" t="inlineStr">
        <is>
          <t>UTV / side-by-side</t>
        </is>
      </c>
      <c r="C10" s="5" t="inlineStr">
        <is>
          <t>UTV / side-by-side</t>
        </is>
      </c>
      <c r="D10" s="6" t="n">
        <v>6000</v>
      </c>
      <c r="E10" s="7" t="n"/>
      <c r="F10" s="6">
        <f>IF(E10="","",E10-D10)</f>
        <v/>
      </c>
      <c r="G10" s="5" t="inlineStr">
        <is>
          <t>normal</t>
        </is>
      </c>
      <c r="H10" s="15" t="inlineStr">
        <is>
          <t>local only</t>
        </is>
      </c>
      <c r="I10" s="8" t="n"/>
    </row>
    <row r="11">
      <c r="A11" s="14" t="inlineStr">
        <is>
          <t>Price book</t>
        </is>
      </c>
      <c r="B11" s="5" t="inlineStr">
        <is>
          <t>Jet ski with trailer</t>
        </is>
      </c>
      <c r="C11" s="5" t="inlineStr">
        <is>
          <t>Jet ski with trailer</t>
        </is>
      </c>
      <c r="D11" s="6" t="n">
        <v>3500</v>
      </c>
      <c r="E11" s="7" t="n"/>
      <c r="F11" s="6">
        <f>IF(E11="","",E11-D11)</f>
        <v/>
      </c>
      <c r="G11" s="5" t="inlineStr">
        <is>
          <t>slow</t>
        </is>
      </c>
      <c r="H11" s="15" t="inlineStr">
        <is>
          <t>local only</t>
        </is>
      </c>
      <c r="I11" s="8" t="n"/>
    </row>
    <row r="12">
      <c r="A12" s="14" t="inlineStr">
        <is>
          <t>Price book</t>
        </is>
      </c>
      <c r="B12" s="5" t="inlineStr">
        <is>
          <t>Truck toolbox</t>
        </is>
      </c>
      <c r="C12" s="5" t="inlineStr">
        <is>
          <t>Truck toolbox</t>
        </is>
      </c>
      <c r="D12" s="6" t="n">
        <v>90</v>
      </c>
      <c r="E12" s="7" t="n"/>
      <c r="F12" s="6">
        <f>IF(E12="","",E12-D12)</f>
        <v/>
      </c>
      <c r="G12" s="5" t="inlineStr">
        <is>
          <t>fast</t>
        </is>
      </c>
      <c r="H12" s="15" t="inlineStr">
        <is>
          <t>local only</t>
        </is>
      </c>
      <c r="I12" s="8" t="n"/>
    </row>
    <row r="13">
      <c r="A13" s="14" t="inlineStr">
        <is>
          <t>Price book</t>
        </is>
      </c>
      <c r="B13" s="5" t="inlineStr">
        <is>
          <t>ATV winch</t>
        </is>
      </c>
      <c r="C13" s="5" t="inlineStr">
        <is>
          <t>ATV winch</t>
        </is>
      </c>
      <c r="D13" s="6" t="n">
        <v>60</v>
      </c>
      <c r="E13" s="7" t="n"/>
      <c r="F13" s="6">
        <f>IF(E13="","",E13-D13)</f>
        <v/>
      </c>
      <c r="G13" s="5" t="inlineStr">
        <is>
          <t>normal</t>
        </is>
      </c>
      <c r="H13" s="15" t="inlineStr">
        <is>
          <t>local only</t>
        </is>
      </c>
      <c r="I13" s="8" t="n"/>
    </row>
    <row r="14">
      <c r="A14" s="14" t="inlineStr">
        <is>
          <t>Price book</t>
        </is>
      </c>
      <c r="B14" s="5" t="inlineStr">
        <is>
          <t>Truck rims &amp; tires — set</t>
        </is>
      </c>
      <c r="C14" s="5" t="inlineStr">
        <is>
          <t>Truck rims &amp; tires — set</t>
        </is>
      </c>
      <c r="D14" s="6" t="n">
        <v>300</v>
      </c>
      <c r="E14" s="7" t="n"/>
      <c r="F14" s="6">
        <f>IF(E14="","",E14-D14)</f>
        <v/>
      </c>
      <c r="G14" s="5" t="inlineStr">
        <is>
          <t>normal</t>
        </is>
      </c>
      <c r="H14" s="15" t="inlineStr">
        <is>
          <t>local only</t>
        </is>
      </c>
      <c r="I14" s="8" t="n"/>
    </row>
    <row r="15">
      <c r="A15" s="14" t="inlineStr">
        <is>
          <t>Price book</t>
        </is>
      </c>
      <c r="B15" s="5" t="inlineStr">
        <is>
          <t>Bicycle — adult</t>
        </is>
      </c>
      <c r="C15" s="5" t="inlineStr">
        <is>
          <t>Bicycle — adult</t>
        </is>
      </c>
      <c r="D15" s="6" t="n">
        <v>60</v>
      </c>
      <c r="E15" s="7" t="n"/>
      <c r="F15" s="6">
        <f>IF(E15="","",E15-D15)</f>
        <v/>
      </c>
      <c r="G15" s="5" t="inlineStr">
        <is>
          <t>normal</t>
        </is>
      </c>
      <c r="H15" s="15" t="inlineStr">
        <is>
          <t>local only</t>
        </is>
      </c>
      <c r="I15" s="8" t="n"/>
    </row>
    <row r="16">
      <c r="A16" s="14" t="inlineStr">
        <is>
          <t>Price book</t>
        </is>
      </c>
      <c r="B16" s="5" t="inlineStr">
        <is>
          <t>E-bike</t>
        </is>
      </c>
      <c r="C16" s="5" t="inlineStr">
        <is>
          <t>E-bike</t>
        </is>
      </c>
      <c r="D16" s="6" t="n">
        <v>600</v>
      </c>
      <c r="E16" s="7" t="n"/>
      <c r="F16" s="6">
        <f>IF(E16="","",E16-D16)</f>
        <v/>
      </c>
      <c r="G16" s="5" t="inlineStr">
        <is>
          <t>normal</t>
        </is>
      </c>
      <c r="H16" s="15" t="inlineStr">
        <is>
          <t>local only</t>
        </is>
      </c>
      <c r="I16" s="8" t="n"/>
    </row>
    <row r="17">
      <c r="A17" s="14" t="inlineStr">
        <is>
          <t>Price book</t>
        </is>
      </c>
      <c r="B17" s="5" t="inlineStr">
        <is>
          <t>Power wheels / ride-on toy</t>
        </is>
      </c>
      <c r="C17" s="5" t="inlineStr">
        <is>
          <t>Power wheels / ride-on toy</t>
        </is>
      </c>
      <c r="D17" s="6" t="n">
        <v>60</v>
      </c>
      <c r="E17" s="7" t="n"/>
      <c r="F17" s="6">
        <f>IF(E17="","",E17-D17)</f>
        <v/>
      </c>
      <c r="G17" s="5" t="inlineStr">
        <is>
          <t>normal</t>
        </is>
      </c>
      <c r="H17" s="15" t="inlineStr">
        <is>
          <t>local only</t>
        </is>
      </c>
      <c r="I17" s="8" t="n"/>
    </row>
    <row r="18">
      <c r="A18" s="14" t="inlineStr">
        <is>
          <t>Price book</t>
        </is>
      </c>
      <c r="B18" s="5" t="inlineStr">
        <is>
          <t>Scooter / moped</t>
        </is>
      </c>
      <c r="C18" s="5" t="inlineStr">
        <is>
          <t>Scooter / moped</t>
        </is>
      </c>
      <c r="D18" s="6" t="n">
        <v>400</v>
      </c>
      <c r="E18" s="7" t="n"/>
      <c r="F18" s="6">
        <f>IF(E18="","",E18-D18)</f>
        <v/>
      </c>
      <c r="G18" s="5" t="inlineStr">
        <is>
          <t>normal</t>
        </is>
      </c>
      <c r="H18" s="15" t="inlineStr">
        <is>
          <t>local only</t>
        </is>
      </c>
      <c r="I18" s="8" t="n"/>
    </row>
    <row r="19">
      <c r="A19" s="14" t="inlineStr">
        <is>
          <t>Price book</t>
        </is>
      </c>
      <c r="B19" s="5" t="inlineStr">
        <is>
          <t>Pop-up camper</t>
        </is>
      </c>
      <c r="C19" s="5" t="inlineStr">
        <is>
          <t>Pop-up camper</t>
        </is>
      </c>
      <c r="D19" s="6" t="n">
        <v>1800</v>
      </c>
      <c r="E19" s="7" t="n"/>
      <c r="F19" s="6">
        <f>IF(E19="","",E19-D19)</f>
        <v/>
      </c>
      <c r="G19" s="5" t="inlineStr">
        <is>
          <t>slow</t>
        </is>
      </c>
      <c r="H19" s="15" t="inlineStr">
        <is>
          <t>local only</t>
        </is>
      </c>
      <c r="I19" s="8" t="n"/>
    </row>
    <row r="21">
      <c r="C21" s="2" t="inlineStr">
        <is>
          <t>Rows on this sheet</t>
        </is>
      </c>
      <c r="D21" s="2">
        <f>COUNTA(C3:C19)</f>
        <v/>
      </c>
    </row>
    <row r="22">
      <c r="C22" s="2" t="inlineStr">
        <is>
          <t>Ones you changed</t>
        </is>
      </c>
      <c r="D22" s="2">
        <f>COUNT(E3:E19)</f>
        <v/>
      </c>
    </row>
    <row r="24">
      <c r="A24" s="9" t="inlineStr">
        <is>
          <t>Edit the yellow columns only. Leave YOUR VALUE blank on any row you are happy with.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  <col width="12" customWidth="1" min="9" max="9"/>
    <col width="46" customWidth="1" min="10" max="10"/>
    <col width="46" customWidth="1" min="11" max="11"/>
  </cols>
  <sheetData>
    <row r="1">
      <c r="A1" s="12" t="inlineStr">
        <is>
          <t>Model prices — specific makes and models</t>
        </is>
      </c>
    </row>
    <row r="2">
      <c r="A2" s="13" t="inlineStr">
        <is>
          <t>Key</t>
        </is>
      </c>
      <c r="B2" s="13" t="inlineStr">
        <is>
          <t>Fits</t>
        </is>
      </c>
      <c r="C2" s="13" t="inlineStr">
        <is>
          <t>Make and model</t>
        </is>
      </c>
      <c r="D2" s="13" t="inlineStr">
        <is>
          <t>Low $</t>
        </is>
      </c>
      <c r="E2" s="13" t="inlineStr">
        <is>
          <t>High $</t>
        </is>
      </c>
      <c r="F2" s="13" t="inlineStr">
        <is>
          <t>YOUR LOW $</t>
        </is>
      </c>
      <c r="G2" s="13" t="inlineStr">
        <is>
          <t>YOUR HIGH $</t>
        </is>
      </c>
      <c r="H2" s="13" t="inlineStr">
        <is>
          <t>Data</t>
        </is>
      </c>
      <c r="I2" s="13" t="inlineStr">
        <is>
          <t>Checked</t>
        </is>
      </c>
      <c r="J2" s="13" t="inlineStr">
        <is>
          <t>Source</t>
        </is>
      </c>
      <c r="K2" s="13" t="inlineStr">
        <is>
          <t>What moves the price</t>
        </is>
      </c>
    </row>
    <row r="3">
      <c r="A3" s="5" t="inlineStr">
        <is>
          <t>a1</t>
        </is>
      </c>
      <c r="B3" s="5" t="inlineStr">
        <is>
          <t>g1</t>
        </is>
      </c>
      <c r="C3" s="5" t="inlineStr">
        <is>
          <t>Remington 870 Express</t>
        </is>
      </c>
      <c r="D3" s="6" t="n">
        <v>300</v>
      </c>
      <c r="E3" s="6" t="n">
        <v>400</v>
      </c>
      <c r="F3" s="7" t="n"/>
      <c r="G3" s="7" t="n"/>
      <c r="H3" s="5" t="inlineStr">
        <is>
          <t>fair</t>
        </is>
      </c>
      <c r="I3" s="5" t="inlineStr">
        <is>
          <t>2026-09-19</t>
        </is>
      </c>
      <c r="J3" s="5" t="inlineStr">
        <is>
          <t>https://gunwatcher.com/gun-value-sold-information/market-price?itemName=remington+870+express</t>
        </is>
      </c>
      <c r="K3" s="5" t="inlineStr">
        <is>
          <t>Super Mag or extra barrels add; rust lowers</t>
        </is>
      </c>
    </row>
    <row r="4">
      <c r="A4" s="5" t="inlineStr">
        <is>
          <t>a2</t>
        </is>
      </c>
      <c r="B4" s="5" t="inlineStr">
        <is>
          <t>g1</t>
        </is>
      </c>
      <c r="C4" s="5" t="inlineStr">
        <is>
          <t>Remington 870 Wingmaster</t>
        </is>
      </c>
      <c r="D4" s="6" t="n">
        <v>450</v>
      </c>
      <c r="E4" s="6" t="n">
        <v>625</v>
      </c>
      <c r="F4" s="7" t="n"/>
      <c r="G4" s="7" t="n"/>
      <c r="H4" s="5" t="inlineStr">
        <is>
          <t>fair</t>
        </is>
      </c>
      <c r="I4" s="5" t="inlineStr">
        <is>
          <t>2026-09-19</t>
        </is>
      </c>
      <c r="J4" s="5" t="inlineStr">
        <is>
          <t>https://gunwatcher.com/gun-value-sold-information/market-price?itemName=remington+870+wingmaster</t>
        </is>
      </c>
      <c r="K4" s="5" t="inlineStr">
        <is>
          <t>Bluing and wood; 16, 28 and .410 bring far more</t>
        </is>
      </c>
    </row>
    <row r="5">
      <c r="A5" s="5" t="inlineStr">
        <is>
          <t>a3</t>
        </is>
      </c>
      <c r="B5" s="5" t="inlineStr">
        <is>
          <t>g1</t>
        </is>
      </c>
      <c r="C5" s="5" t="inlineStr">
        <is>
          <t>Mossberg 500</t>
        </is>
      </c>
      <c r="D5" s="6" t="n">
        <v>225</v>
      </c>
      <c r="E5" s="6" t="n">
        <v>325</v>
      </c>
      <c r="F5" s="7" t="n"/>
      <c r="G5" s="7" t="n"/>
      <c r="H5" s="5" t="inlineStr">
        <is>
          <t>fair</t>
        </is>
      </c>
      <c r="I5" s="5" t="inlineStr">
        <is>
          <t>2026-09-19</t>
        </is>
      </c>
      <c r="J5" s="5" t="inlineStr">
        <is>
          <t>https://gunwatcher.com/gun-value-sold-information/market-price?itemName=mossberg+500</t>
        </is>
      </c>
      <c r="K5" s="5" t="inlineStr">
        <is>
          <t>Combo barrels and chokes add</t>
        </is>
      </c>
    </row>
    <row r="6">
      <c r="A6" s="5" t="inlineStr">
        <is>
          <t>a4</t>
        </is>
      </c>
      <c r="B6" s="5" t="inlineStr">
        <is>
          <t>g1</t>
        </is>
      </c>
      <c r="C6" s="5" t="inlineStr">
        <is>
          <t>Mossberg 590 / 590A1</t>
        </is>
      </c>
      <c r="D6" s="6" t="n">
        <v>380</v>
      </c>
      <c r="E6" s="6" t="n">
        <v>550</v>
      </c>
      <c r="F6" s="7" t="n"/>
      <c r="G6" s="7" t="n"/>
      <c r="H6" s="5" t="inlineStr">
        <is>
          <t>fair</t>
        </is>
      </c>
      <c r="I6" s="5" t="inlineStr">
        <is>
          <t>2026-09-19</t>
        </is>
      </c>
      <c r="J6" s="5" t="inlineStr">
        <is>
          <t>https://gunwatcher.com/gun-value-sold-information/market-price?itemName=mossberg+590a1</t>
        </is>
      </c>
      <c r="K6" s="5" t="inlineStr">
        <is>
          <t>590A1 heavy barrel on top; plain 590 less</t>
        </is>
      </c>
    </row>
    <row r="7">
      <c r="A7" s="5" t="inlineStr">
        <is>
          <t>a5</t>
        </is>
      </c>
      <c r="B7" s="5" t="inlineStr">
        <is>
          <t>g1</t>
        </is>
      </c>
      <c r="C7" s="5" t="inlineStr">
        <is>
          <t>Maverick 88</t>
        </is>
      </c>
      <c r="D7" s="6" t="n">
        <v>150</v>
      </c>
      <c r="E7" s="6" t="n">
        <v>210</v>
      </c>
      <c r="F7" s="7" t="n"/>
      <c r="G7" s="7" t="n"/>
      <c r="H7" s="5" t="inlineStr">
        <is>
          <t>fair</t>
        </is>
      </c>
      <c r="I7" s="5" t="inlineStr">
        <is>
          <t>2026-09-19</t>
        </is>
      </c>
      <c r="J7" s="5" t="inlineStr">
        <is>
          <t>https://gunwatcher.com/gun-value-sold-information/market-price?itemName=maverick+88</t>
        </is>
      </c>
      <c r="K7" s="5" t="inlineStr">
        <is>
          <t>Extra barrel adds a little</t>
        </is>
      </c>
    </row>
    <row r="8">
      <c r="A8" s="5" t="inlineStr">
        <is>
          <t>a6</t>
        </is>
      </c>
      <c r="B8" s="5" t="inlineStr">
        <is>
          <t>g1</t>
        </is>
      </c>
      <c r="C8" s="5" t="inlineStr">
        <is>
          <t>Mossberg 835 Ulti-Mag</t>
        </is>
      </c>
      <c r="D8" s="6" t="n">
        <v>250</v>
      </c>
      <c r="E8" s="6" t="n">
        <v>350</v>
      </c>
      <c r="F8" s="7" t="n"/>
      <c r="G8" s="7" t="n"/>
      <c r="H8" s="5" t="inlineStr">
        <is>
          <t>fair</t>
        </is>
      </c>
      <c r="I8" s="5" t="inlineStr">
        <is>
          <t>2026-09-19</t>
        </is>
      </c>
      <c r="J8" s="5" t="inlineStr">
        <is>
          <t>https://gunwatcher.com/gun-value-sold-information/market-price?itemName=mossberg+835+ulti-mag</t>
        </is>
      </c>
      <c r="K8" s="5" t="inlineStr">
        <is>
          <t>Camo turkey or waterfowl combos on top</t>
        </is>
      </c>
    </row>
    <row r="9">
      <c r="A9" s="5" t="inlineStr">
        <is>
          <t>a7</t>
        </is>
      </c>
      <c r="B9" s="5" t="inlineStr">
        <is>
          <t>g1</t>
        </is>
      </c>
      <c r="C9" s="5" t="inlineStr">
        <is>
          <t>Benelli Nova / SuperNova</t>
        </is>
      </c>
      <c r="D9" s="6" t="n">
        <v>290</v>
      </c>
      <c r="E9" s="6" t="n">
        <v>410</v>
      </c>
      <c r="F9" s="7" t="n"/>
      <c r="G9" s="7" t="n"/>
      <c r="H9" s="5" t="inlineStr">
        <is>
          <t>fair</t>
        </is>
      </c>
      <c r="I9" s="5" t="inlineStr">
        <is>
          <t>2026-09-19</t>
        </is>
      </c>
      <c r="J9" s="5" t="inlineStr">
        <is>
          <t>https://gunwatcher.com/gun-value-sold-information/market-price?itemName=benelli+nova</t>
        </is>
      </c>
      <c r="K9" s="5" t="inlineStr">
        <is>
          <t>SuperNova and camo bring more</t>
        </is>
      </c>
    </row>
    <row r="10">
      <c r="A10" s="5" t="inlineStr">
        <is>
          <t>a8</t>
        </is>
      </c>
      <c r="B10" s="5" t="inlineStr">
        <is>
          <t>g1</t>
        </is>
      </c>
      <c r="C10" s="5" t="inlineStr">
        <is>
          <t>Browning BPS</t>
        </is>
      </c>
      <c r="D10" s="6" t="n">
        <v>525</v>
      </c>
      <c r="E10" s="6" t="n">
        <v>725</v>
      </c>
      <c r="F10" s="7" t="n"/>
      <c r="G10" s="7" t="n"/>
      <c r="H10" s="5" t="inlineStr">
        <is>
          <t>fair</t>
        </is>
      </c>
      <c r="I10" s="5" t="inlineStr">
        <is>
          <t>2026-09-19</t>
        </is>
      </c>
      <c r="J10" s="5" t="inlineStr">
        <is>
          <t>https://gunwatcher.com/gun-value-sold-information/market-price?itemName=browning+bps</t>
        </is>
      </c>
      <c r="K10" s="5" t="inlineStr">
        <is>
          <t>Walnut over synthetic; small gauges far more</t>
        </is>
      </c>
    </row>
    <row r="11">
      <c r="A11" s="5" t="inlineStr">
        <is>
          <t>a9</t>
        </is>
      </c>
      <c r="B11" s="5" t="inlineStr">
        <is>
          <t>g2</t>
        </is>
      </c>
      <c r="C11" s="5" t="inlineStr">
        <is>
          <t>Remington 1100</t>
        </is>
      </c>
      <c r="D11" s="6" t="n">
        <v>450</v>
      </c>
      <c r="E11" s="6" t="n">
        <v>675</v>
      </c>
      <c r="F11" s="7" t="n"/>
      <c r="G11" s="7" t="n"/>
      <c r="H11" s="5" t="inlineStr">
        <is>
          <t>fair</t>
        </is>
      </c>
      <c r="I11" s="5" t="inlineStr">
        <is>
          <t>2026-09-19</t>
        </is>
      </c>
      <c r="J11" s="5" t="inlineStr">
        <is>
          <t>https://gunwatcher.com/gun-value-sold-information/market-price?itemName=remington+1100</t>
        </is>
      </c>
      <c r="K11" s="5" t="inlineStr">
        <is>
          <t>Plain 12 ga lowest; LT-20 and small gauges higher</t>
        </is>
      </c>
    </row>
    <row r="12">
      <c r="A12" s="5" t="inlineStr">
        <is>
          <t>a10</t>
        </is>
      </c>
      <c r="B12" s="5" t="inlineStr">
        <is>
          <t>g2</t>
        </is>
      </c>
      <c r="C12" s="5" t="inlineStr">
        <is>
          <t>Remington 11-87</t>
        </is>
      </c>
      <c r="D12" s="6" t="n">
        <v>550</v>
      </c>
      <c r="E12" s="6" t="n">
        <v>750</v>
      </c>
      <c r="F12" s="7" t="n"/>
      <c r="G12" s="7" t="n"/>
      <c r="H12" s="5" t="inlineStr">
        <is>
          <t>fair</t>
        </is>
      </c>
      <c r="I12" s="5" t="inlineStr">
        <is>
          <t>2026-09-19</t>
        </is>
      </c>
      <c r="J12" s="5" t="inlineStr">
        <is>
          <t>https://gunwatcher.com/gun-value-sold-information/market-price?itemName=remington+11-87</t>
        </is>
      </c>
      <c r="K12" s="5" t="inlineStr">
        <is>
          <t>Premier walnut over synthetic; slug barrels add</t>
        </is>
      </c>
    </row>
    <row r="13">
      <c r="A13" s="5" t="inlineStr">
        <is>
          <t>a11</t>
        </is>
      </c>
      <c r="B13" s="5" t="inlineStr">
        <is>
          <t>g2</t>
        </is>
      </c>
      <c r="C13" s="5" t="inlineStr">
        <is>
          <t>Beretta A300 Outlander</t>
        </is>
      </c>
      <c r="D13" s="6" t="n">
        <v>525</v>
      </c>
      <c r="E13" s="6" t="n">
        <v>675</v>
      </c>
      <c r="F13" s="7" t="n"/>
      <c r="G13" s="7" t="n"/>
      <c r="H13" s="5" t="inlineStr">
        <is>
          <t>fair</t>
        </is>
      </c>
      <c r="I13" s="5" t="inlineStr">
        <is>
          <t>2026-09-19</t>
        </is>
      </c>
      <c r="J13" s="5" t="inlineStr">
        <is>
          <t>https://gunwatcher.com/gun-value-sold-information/market-price?itemName=beretta+a300+outlander</t>
        </is>
      </c>
      <c r="K13" s="5" t="inlineStr">
        <is>
          <t>Camo and wood over black synthetic</t>
        </is>
      </c>
    </row>
    <row r="14">
      <c r="A14" s="5" t="inlineStr">
        <is>
          <t>a12</t>
        </is>
      </c>
      <c r="B14" s="5" t="inlineStr">
        <is>
          <t>g2</t>
        </is>
      </c>
      <c r="C14" s="5" t="inlineStr">
        <is>
          <t>Beretta A400</t>
        </is>
      </c>
      <c r="D14" s="6" t="n">
        <v>1175</v>
      </c>
      <c r="E14" s="6" t="n">
        <v>1500</v>
      </c>
      <c r="F14" s="7" t="n"/>
      <c r="G14" s="7" t="n"/>
      <c r="H14" s="5" t="inlineStr">
        <is>
          <t>fair</t>
        </is>
      </c>
      <c r="I14" s="5" t="inlineStr">
        <is>
          <t>2026-09-19</t>
        </is>
      </c>
      <c r="J14" s="5" t="inlineStr">
        <is>
          <t>https://gunwatcher.com/gun-value-sold-information/market-price?itemName=beretta+a400</t>
        </is>
      </c>
      <c r="K14" s="5" t="inlineStr">
        <is>
          <t>Xtreme Plus higher; base Xplor Action lower</t>
        </is>
      </c>
    </row>
    <row r="15">
      <c r="A15" s="5" t="inlineStr">
        <is>
          <t>a13</t>
        </is>
      </c>
      <c r="B15" s="5" t="inlineStr">
        <is>
          <t>g2</t>
        </is>
      </c>
      <c r="C15" s="5" t="inlineStr">
        <is>
          <t>Benelli M2</t>
        </is>
      </c>
      <c r="D15" s="6" t="n">
        <v>875</v>
      </c>
      <c r="E15" s="6" t="n">
        <v>1150</v>
      </c>
      <c r="F15" s="7" t="n"/>
      <c r="G15" s="7" t="n"/>
      <c r="H15" s="5" t="inlineStr">
        <is>
          <t>fair</t>
        </is>
      </c>
      <c r="I15" s="5" t="inlineStr">
        <is>
          <t>2026-09-19</t>
        </is>
      </c>
      <c r="J15" s="5" t="inlineStr">
        <is>
          <t>https://gunwatcher.com/gun-value-sold-information/market-price?itemName=benelli+m2</t>
        </is>
      </c>
      <c r="K15" s="5" t="inlineStr">
        <is>
          <t>Field camo and 20 ga higher; worn guns lower</t>
        </is>
      </c>
    </row>
    <row r="16">
      <c r="A16" s="5" t="inlineStr">
        <is>
          <t>a14</t>
        </is>
      </c>
      <c r="B16" s="5" t="inlineStr">
        <is>
          <t>g2</t>
        </is>
      </c>
      <c r="C16" s="5" t="inlineStr">
        <is>
          <t>Benelli Super Black Eagle</t>
        </is>
      </c>
      <c r="D16" s="6" t="n">
        <v>1075</v>
      </c>
      <c r="E16" s="6" t="n">
        <v>1450</v>
      </c>
      <c r="F16" s="7" t="n"/>
      <c r="G16" s="7" t="n"/>
      <c r="H16" s="5" t="inlineStr">
        <is>
          <t>fair</t>
        </is>
      </c>
      <c r="I16" s="5" t="inlineStr">
        <is>
          <t>2026-09-19</t>
        </is>
      </c>
      <c r="J16" s="5" t="inlineStr">
        <is>
          <t>https://gunwatcher.com/gun-value-sold-information/market-price?itemName=benelli+super+black+eagle+3</t>
        </is>
      </c>
      <c r="K16" s="5" t="inlineStr">
        <is>
          <t>SBE 3 about $1,350+; SBE II $1,000–1,200</t>
        </is>
      </c>
    </row>
    <row r="17">
      <c r="A17" s="5" t="inlineStr">
        <is>
          <t>a15</t>
        </is>
      </c>
      <c r="B17" s="5" t="inlineStr">
        <is>
          <t>g2</t>
        </is>
      </c>
      <c r="C17" s="5" t="inlineStr">
        <is>
          <t>Browning A5</t>
        </is>
      </c>
      <c r="D17" s="6" t="n">
        <v>1050</v>
      </c>
      <c r="E17" s="6" t="n">
        <v>1300</v>
      </c>
      <c r="F17" s="7" t="n"/>
      <c r="G17" s="7" t="n"/>
      <c r="H17" s="5" t="inlineStr">
        <is>
          <t>fair</t>
        </is>
      </c>
      <c r="I17" s="5" t="inlineStr">
        <is>
          <t>2026-09-19</t>
        </is>
      </c>
      <c r="J17" s="5" t="inlineStr">
        <is>
          <t>https://gunwatcher.com/gun-value-sold-information/market-price?itemName=browning+a5+hunter</t>
        </is>
      </c>
      <c r="K17" s="5" t="inlineStr">
        <is>
          <t>Hunter walnut and Wicked Wing above Stalker</t>
        </is>
      </c>
    </row>
    <row r="18">
      <c r="A18" s="5" t="inlineStr">
        <is>
          <t>a16a</t>
        </is>
      </c>
      <c r="B18" s="5" t="inlineStr">
        <is>
          <t>g2</t>
        </is>
      </c>
      <c r="C18" s="5" t="inlineStr">
        <is>
          <t>Mossberg 930</t>
        </is>
      </c>
      <c r="D18" s="6" t="n">
        <v>400</v>
      </c>
      <c r="E18" s="6" t="n">
        <v>500</v>
      </c>
      <c r="F18" s="7" t="n"/>
      <c r="G18" s="7" t="n"/>
      <c r="H18" s="5" t="inlineStr">
        <is>
          <t>thin</t>
        </is>
      </c>
      <c r="I18" s="5" t="inlineStr">
        <is>
          <t>2026-09-19</t>
        </is>
      </c>
      <c r="J18" s="5" t="inlineStr">
        <is>
          <t>https://gunwatcher.com/gun-value-sold-information/market-price?itemName=mossberg+930</t>
        </is>
      </c>
      <c r="K18" s="5" t="inlineStr">
        <is>
          <t>Waterfowl camo on top</t>
        </is>
      </c>
    </row>
    <row r="19">
      <c r="A19" s="5" t="inlineStr">
        <is>
          <t>a16b</t>
        </is>
      </c>
      <c r="B19" s="5" t="inlineStr">
        <is>
          <t>g2</t>
        </is>
      </c>
      <c r="C19" s="5" t="inlineStr">
        <is>
          <t>Mossberg 940</t>
        </is>
      </c>
      <c r="D19" s="6" t="n">
        <v>575</v>
      </c>
      <c r="E19" s="6" t="n">
        <v>700</v>
      </c>
      <c r="F19" s="7" t="n"/>
      <c r="G19" s="7" t="n"/>
      <c r="H19" s="5" t="inlineStr">
        <is>
          <t>thin</t>
        </is>
      </c>
      <c r="I19" s="5" t="inlineStr">
        <is>
          <t>2026-09-19</t>
        </is>
      </c>
      <c r="J19" s="5" t="inlineStr">
        <is>
          <t>https://gunwatcher.com/gun-value-sold-information/market-price?itemName=mossberg+940</t>
        </is>
      </c>
      <c r="K19" s="5" t="inlineStr">
        <is>
          <t>JM Pro brings the top end</t>
        </is>
      </c>
    </row>
    <row r="20">
      <c r="A20" s="5" t="inlineStr">
        <is>
          <t>a17</t>
        </is>
      </c>
      <c r="B20" s="5" t="inlineStr">
        <is>
          <t>g2</t>
        </is>
      </c>
      <c r="C20" s="5" t="inlineStr">
        <is>
          <t>Stoeger M3000 / M3500</t>
        </is>
      </c>
      <c r="D20" s="6" t="n">
        <v>350</v>
      </c>
      <c r="E20" s="6" t="n">
        <v>450</v>
      </c>
      <c r="F20" s="7" t="n"/>
      <c r="G20" s="7" t="n"/>
      <c r="H20" s="5" t="inlineStr">
        <is>
          <t>fair</t>
        </is>
      </c>
      <c r="I20" s="5" t="inlineStr">
        <is>
          <t>2026-09-19</t>
        </is>
      </c>
      <c r="J20" s="5" t="inlineStr">
        <is>
          <t>https://gunwatcher.com/gun-value-sold-information/market-price?itemName=stoeger+m3500</t>
        </is>
      </c>
      <c r="K20" s="5" t="inlineStr">
        <is>
          <t>M3500 camo over M3000 synthetic</t>
        </is>
      </c>
    </row>
    <row r="21">
      <c r="A21" s="5" t="inlineStr">
        <is>
          <t>a18</t>
        </is>
      </c>
      <c r="B21" s="5" t="inlineStr">
        <is>
          <t>g2</t>
        </is>
      </c>
      <c r="C21" s="5" t="inlineStr">
        <is>
          <t>Winchester SX4</t>
        </is>
      </c>
      <c r="D21" s="6" t="n">
        <v>625</v>
      </c>
      <c r="E21" s="6" t="n">
        <v>800</v>
      </c>
      <c r="F21" s="7" t="n"/>
      <c r="G21" s="7" t="n"/>
      <c r="H21" s="5" t="inlineStr">
        <is>
          <t>fair</t>
        </is>
      </c>
      <c r="I21" s="5" t="inlineStr">
        <is>
          <t>2026-09-19</t>
        </is>
      </c>
      <c r="J21" s="5" t="inlineStr">
        <is>
          <t>https://gunwatcher.com/gun-value-sold-information/market-price?itemName=winchester+sx4</t>
        </is>
      </c>
      <c r="K21" s="5" t="inlineStr">
        <is>
          <t>Waterfowl camo and 20 ga Field bring more</t>
        </is>
      </c>
    </row>
    <row r="22">
      <c r="A22" s="5" t="inlineStr">
        <is>
          <t>a19</t>
        </is>
      </c>
      <c r="B22" s="5" t="inlineStr">
        <is>
          <t>g3</t>
        </is>
      </c>
      <c r="C22" s="5" t="inlineStr">
        <is>
          <t>Remington 700</t>
        </is>
      </c>
      <c r="D22" s="6" t="n">
        <v>450</v>
      </c>
      <c r="E22" s="6" t="n">
        <v>700</v>
      </c>
      <c r="F22" s="7" t="n"/>
      <c r="G22" s="7" t="n"/>
      <c r="H22" s="5" t="inlineStr">
        <is>
          <t>fair</t>
        </is>
      </c>
      <c r="I22" s="5" t="inlineStr">
        <is>
          <t>2026-09-19</t>
        </is>
      </c>
      <c r="J22" s="5" t="inlineStr">
        <is>
          <t>https://gunwatcher.com/gun-value-sold-information/market-price?itemName=remington+700+bdl</t>
        </is>
      </c>
      <c r="K22" s="5" t="inlineStr">
        <is>
          <t>Older walnut BDL highest; SPS synthetic lowest</t>
        </is>
      </c>
    </row>
    <row r="23">
      <c r="A23" s="5" t="inlineStr">
        <is>
          <t>a20</t>
        </is>
      </c>
      <c r="B23" s="5" t="inlineStr">
        <is>
          <t>g3</t>
        </is>
      </c>
      <c r="C23" s="5" t="inlineStr">
        <is>
          <t>Winchester Model 70</t>
        </is>
      </c>
      <c r="D23" s="6" t="n">
        <v>750</v>
      </c>
      <c r="E23" s="6" t="n">
        <v>975</v>
      </c>
      <c r="F23" s="7" t="n"/>
      <c r="G23" s="7" t="n"/>
      <c r="H23" s="5" t="inlineStr">
        <is>
          <t>fair</t>
        </is>
      </c>
      <c r="I23" s="5" t="inlineStr">
        <is>
          <t>2026-09-19</t>
        </is>
      </c>
      <c r="J23" s="5" t="inlineStr">
        <is>
          <t>https://gunwatcher.com/gun-value-sold-information/market-price?itemName=winchester+model+70</t>
        </is>
      </c>
      <c r="K23" s="5" t="inlineStr">
        <is>
          <t>Featherweight walnut higher; synthetic lower</t>
        </is>
      </c>
    </row>
    <row r="24">
      <c r="A24" s="5" t="inlineStr">
        <is>
          <t>a21</t>
        </is>
      </c>
      <c r="B24" s="5" t="inlineStr">
        <is>
          <t>g3</t>
        </is>
      </c>
      <c r="C24" s="5" t="inlineStr">
        <is>
          <t>Savage Axis</t>
        </is>
      </c>
      <c r="D24" s="6" t="n">
        <v>240</v>
      </c>
      <c r="E24" s="6" t="n">
        <v>325</v>
      </c>
      <c r="F24" s="7" t="n"/>
      <c r="G24" s="7" t="n"/>
      <c r="H24" s="5" t="inlineStr">
        <is>
          <t>fair</t>
        </is>
      </c>
      <c r="I24" s="5" t="inlineStr">
        <is>
          <t>2026-09-19</t>
        </is>
      </c>
      <c r="J24" s="5" t="inlineStr">
        <is>
          <t>https://gunwatcher.com/gun-value-sold-information/market-price?itemName=savage+axis</t>
        </is>
      </c>
      <c r="K24" s="5" t="inlineStr">
        <is>
          <t>Axis II AccuTrigger adds</t>
        </is>
      </c>
    </row>
    <row r="25">
      <c r="A25" s="5" t="inlineStr">
        <is>
          <t>a22</t>
        </is>
      </c>
      <c r="B25" s="5" t="inlineStr">
        <is>
          <t>g3</t>
        </is>
      </c>
      <c r="C25" s="5" t="inlineStr">
        <is>
          <t>Savage 110</t>
        </is>
      </c>
      <c r="D25" s="6" t="n">
        <v>375</v>
      </c>
      <c r="E25" s="6" t="n">
        <v>525</v>
      </c>
      <c r="F25" s="7" t="n"/>
      <c r="G25" s="7" t="n"/>
      <c r="H25" s="5" t="inlineStr">
        <is>
          <t>thin</t>
        </is>
      </c>
      <c r="I25" s="5" t="inlineStr">
        <is>
          <t>2026-09-19</t>
        </is>
      </c>
      <c r="J25" s="5" t="inlineStr">
        <is>
          <t>https://gunwatcher.com/gun-value-sold-information/market-price?itemName=savage+110</t>
        </is>
      </c>
      <c r="K25" s="5" t="inlineStr">
        <is>
          <t>Newer AccuFit and Apex higher; old plain 110s lower</t>
        </is>
      </c>
    </row>
    <row r="26">
      <c r="A26" s="5" t="inlineStr">
        <is>
          <t>a23</t>
        </is>
      </c>
      <c r="B26" s="5" t="inlineStr">
        <is>
          <t>g3</t>
        </is>
      </c>
      <c r="C26" s="5" t="inlineStr">
        <is>
          <t>Ruger American Rifle</t>
        </is>
      </c>
      <c r="D26" s="6" t="n">
        <v>340</v>
      </c>
      <c r="E26" s="6" t="n">
        <v>450</v>
      </c>
      <c r="F26" s="7" t="n"/>
      <c r="G26" s="7" t="n"/>
      <c r="H26" s="5" t="inlineStr">
        <is>
          <t>fair</t>
        </is>
      </c>
      <c r="I26" s="5" t="inlineStr">
        <is>
          <t>2026-09-19</t>
        </is>
      </c>
      <c r="J26" s="5" t="inlineStr">
        <is>
          <t>https://gunwatcher.com/gun-value-sold-information/market-price?itemName=ruger+american+rifle</t>
        </is>
      </c>
      <c r="K26" s="5" t="inlineStr">
        <is>
          <t>Gen II and magnum calibers higher</t>
        </is>
      </c>
    </row>
    <row r="27">
      <c r="A27" s="5" t="inlineStr">
        <is>
          <t>a24</t>
        </is>
      </c>
      <c r="B27" s="5" t="inlineStr">
        <is>
          <t>g3</t>
        </is>
      </c>
      <c r="C27" s="5" t="inlineStr">
        <is>
          <t>Tikka T3x</t>
        </is>
      </c>
      <c r="D27" s="6" t="n">
        <v>650</v>
      </c>
      <c r="E27" s="6" t="n">
        <v>825</v>
      </c>
      <c r="F27" s="7" t="n"/>
      <c r="G27" s="7" t="n"/>
      <c r="H27" s="5" t="inlineStr">
        <is>
          <t>fair</t>
        </is>
      </c>
      <c r="I27" s="5" t="inlineStr">
        <is>
          <t>2026-09-19</t>
        </is>
      </c>
      <c r="J27" s="5" t="inlineStr">
        <is>
          <t>https://gunwatcher.com/gun-value-sold-information/market-price?itemName=tikka+t3x</t>
        </is>
      </c>
      <c r="K27" s="5" t="inlineStr">
        <is>
          <t>Stainless and Roughtech higher</t>
        </is>
      </c>
    </row>
    <row r="28">
      <c r="A28" s="5" t="inlineStr">
        <is>
          <t>a25</t>
        </is>
      </c>
      <c r="B28" s="5" t="inlineStr">
        <is>
          <t>g3</t>
        </is>
      </c>
      <c r="C28" s="5" t="inlineStr">
        <is>
          <t>Browning X-Bolt</t>
        </is>
      </c>
      <c r="D28" s="6" t="n">
        <v>700</v>
      </c>
      <c r="E28" s="6" t="n">
        <v>900</v>
      </c>
      <c r="F28" s="7" t="n"/>
      <c r="G28" s="7" t="n"/>
      <c r="H28" s="5" t="inlineStr">
        <is>
          <t>fair</t>
        </is>
      </c>
      <c r="I28" s="5" t="inlineStr">
        <is>
          <t>2026-09-19</t>
        </is>
      </c>
      <c r="J28" s="5" t="inlineStr">
        <is>
          <t>https://gunwatcher.com/gun-value-sold-information/market-price?itemName=browning+x-bolt</t>
        </is>
      </c>
      <c r="K28" s="5" t="inlineStr">
        <is>
          <t>Medallion walnut and stainless bring more</t>
        </is>
      </c>
    </row>
    <row r="29">
      <c r="A29" s="5" t="inlineStr">
        <is>
          <t>a26</t>
        </is>
      </c>
      <c r="B29" s="5" t="inlineStr">
        <is>
          <t>g4</t>
        </is>
      </c>
      <c r="C29" s="5" t="inlineStr">
        <is>
          <t>Marlin 336</t>
        </is>
      </c>
      <c r="D29" s="6" t="n">
        <v>575</v>
      </c>
      <c r="E29" s="6" t="n">
        <v>800</v>
      </c>
      <c r="F29" s="7" t="n"/>
      <c r="G29" s="7" t="n"/>
      <c r="H29" s="5" t="inlineStr">
        <is>
          <t>fair</t>
        </is>
      </c>
      <c r="I29" s="5" t="inlineStr">
        <is>
          <t>2026-09-19</t>
        </is>
      </c>
      <c r="J29" s="5" t="inlineStr">
        <is>
          <t>https://gunwatcher.com/gun-value-sold-information/market-price?itemName=marlin+336</t>
        </is>
      </c>
      <c r="K29" s="5" t="inlineStr">
        <is>
          <t>JM-stamped walnut on top; Remington-era lower</t>
        </is>
      </c>
    </row>
    <row r="30">
      <c r="A30" s="5" t="inlineStr">
        <is>
          <t>a27</t>
        </is>
      </c>
      <c r="B30" s="5" t="inlineStr">
        <is>
          <t>g4</t>
        </is>
      </c>
      <c r="C30" s="5" t="inlineStr">
        <is>
          <t>Winchester Model 94</t>
        </is>
      </c>
      <c r="D30" s="6" t="n">
        <v>500</v>
      </c>
      <c r="E30" s="6" t="n">
        <v>700</v>
      </c>
      <c r="F30" s="7" t="n"/>
      <c r="G30" s="7" t="n"/>
      <c r="H30" s="5" t="inlineStr">
        <is>
          <t>fair</t>
        </is>
      </c>
      <c r="I30" s="5" t="inlineStr">
        <is>
          <t>2026-09-19</t>
        </is>
      </c>
      <c r="J30" s="5" t="inlineStr">
        <is>
          <t>https://gunwatcher.com/gun-value-sold-information/market-price?itemName=winchester+94+30-30</t>
        </is>
      </c>
      <c r="K30" s="5" t="inlineStr">
        <is>
          <t>Commemoratives vary; 1964–71 guns lower</t>
        </is>
      </c>
    </row>
    <row r="31">
      <c r="A31" s="5" t="inlineStr">
        <is>
          <t>a28</t>
        </is>
      </c>
      <c r="B31" s="5" t="inlineStr">
        <is>
          <t>g4</t>
        </is>
      </c>
      <c r="C31" s="5" t="inlineStr">
        <is>
          <t>Henry Big Boy</t>
        </is>
      </c>
      <c r="D31" s="6" t="n">
        <v>650</v>
      </c>
      <c r="E31" s="6" t="n">
        <v>775</v>
      </c>
      <c r="F31" s="7" t="n"/>
      <c r="G31" s="7" t="n"/>
      <c r="H31" s="5" t="inlineStr">
        <is>
          <t>fair</t>
        </is>
      </c>
      <c r="I31" s="5" t="inlineStr">
        <is>
          <t>2026-09-19</t>
        </is>
      </c>
      <c r="J31" s="5" t="inlineStr">
        <is>
          <t>https://gunwatcher.com/gun-value-sold-information/market-price?itemName=henry+big+boy</t>
        </is>
      </c>
      <c r="K31" s="5" t="inlineStr">
        <is>
          <t>Side gate slightly higher; scratched brass lower</t>
        </is>
      </c>
    </row>
    <row r="32">
      <c r="A32" s="5" t="inlineStr">
        <is>
          <t>a29</t>
        </is>
      </c>
      <c r="B32" s="5" t="inlineStr">
        <is>
          <t>g4</t>
        </is>
      </c>
      <c r="C32" s="5" t="inlineStr">
        <is>
          <t>Henry lever .22 (H001 / Golden Boy)</t>
        </is>
      </c>
      <c r="D32" s="6" t="n">
        <v>325</v>
      </c>
      <c r="E32" s="6" t="n">
        <v>475</v>
      </c>
      <c r="F32" s="7" t="n"/>
      <c r="G32" s="7" t="n"/>
      <c r="H32" s="5" t="inlineStr">
        <is>
          <t>fair</t>
        </is>
      </c>
      <c r="I32" s="5" t="inlineStr">
        <is>
          <t>2026-09-19</t>
        </is>
      </c>
      <c r="J32" s="5" t="inlineStr">
        <is>
          <t>https://gunwatcher.com/gun-value-sold-information/market-price?itemName=henry+golden+boy</t>
        </is>
      </c>
      <c r="K32" s="5" t="inlineStr">
        <is>
          <t>Golden Boy $450–500; plain H001 $325–375</t>
        </is>
      </c>
    </row>
    <row r="33">
      <c r="A33" s="5" t="inlineStr">
        <is>
          <t>a30</t>
        </is>
      </c>
      <c r="B33" s="5" t="inlineStr">
        <is>
          <t>g6</t>
        </is>
      </c>
      <c r="C33" s="5" t="inlineStr">
        <is>
          <t>Ruger 10/22</t>
        </is>
      </c>
      <c r="D33" s="6" t="n">
        <v>215</v>
      </c>
      <c r="E33" s="6" t="n">
        <v>300</v>
      </c>
      <c r="F33" s="7" t="n"/>
      <c r="G33" s="7" t="n"/>
      <c r="H33" s="5" t="inlineStr">
        <is>
          <t>fair</t>
        </is>
      </c>
      <c r="I33" s="5" t="inlineStr">
        <is>
          <t>2026-09-19</t>
        </is>
      </c>
      <c r="J33" s="5" t="inlineStr">
        <is>
          <t>https://gunwatcher.com/gun-value-sold-information/market-price?itemName=ruger+10%2F22+carbine</t>
        </is>
      </c>
      <c r="K33" s="5" t="inlineStr">
        <is>
          <t>Walnut, older or stainless higher</t>
        </is>
      </c>
    </row>
    <row r="34">
      <c r="A34" s="5" t="inlineStr">
        <is>
          <t>a31</t>
        </is>
      </c>
      <c r="B34" s="5" t="inlineStr">
        <is>
          <t>g6</t>
        </is>
      </c>
      <c r="C34" s="5" t="inlineStr">
        <is>
          <t>Marlin Model 60</t>
        </is>
      </c>
      <c r="D34" s="6" t="n">
        <v>175</v>
      </c>
      <c r="E34" s="6" t="n">
        <v>250</v>
      </c>
      <c r="F34" s="7" t="n"/>
      <c r="G34" s="7" t="n"/>
      <c r="H34" s="5" t="inlineStr">
        <is>
          <t>fair</t>
        </is>
      </c>
      <c r="I34" s="5" t="inlineStr">
        <is>
          <t>2026-09-19</t>
        </is>
      </c>
      <c r="J34" s="5" t="inlineStr">
        <is>
          <t>https://gunwatcher.com/gun-value-sold-information/market-price?itemName=marlin+model+60</t>
        </is>
      </c>
      <c r="K34" s="5" t="inlineStr">
        <is>
          <t>Feed tube condition matters</t>
        </is>
      </c>
    </row>
    <row r="35">
      <c r="A35" s="5" t="inlineStr">
        <is>
          <t>a32</t>
        </is>
      </c>
      <c r="B35" s="5" t="inlineStr">
        <is>
          <t>g5</t>
        </is>
      </c>
      <c r="C35" s="5" t="inlineStr">
        <is>
          <t>AR-15, entry-level</t>
        </is>
      </c>
      <c r="D35" s="6" t="n">
        <v>375</v>
      </c>
      <c r="E35" s="6" t="n">
        <v>500</v>
      </c>
      <c r="F35" s="7" t="n"/>
      <c r="G35" s="7" t="n"/>
      <c r="H35" s="5" t="inlineStr">
        <is>
          <t>fair</t>
        </is>
      </c>
      <c r="I35" s="5" t="inlineStr">
        <is>
          <t>2026-09-19</t>
        </is>
      </c>
      <c r="J35" s="5" t="inlineStr">
        <is>
          <t>https://gunwatcher.com/gun-value-sold-information/market-price?itemName=psa+ar-15</t>
        </is>
      </c>
      <c r="K35" s="5" t="inlineStr">
        <is>
          <t>Optic, mags and free-float rail add; unknown builds lower</t>
        </is>
      </c>
    </row>
    <row r="36">
      <c r="A36" s="5" t="inlineStr">
        <is>
          <t>a33</t>
        </is>
      </c>
      <c r="B36" s="5" t="inlineStr">
        <is>
          <t>g5</t>
        </is>
      </c>
      <c r="C36" s="5" t="inlineStr">
        <is>
          <t>S&amp;W M&amp;P15 Sport II</t>
        </is>
      </c>
      <c r="D36" s="6" t="n">
        <v>425</v>
      </c>
      <c r="E36" s="6" t="n">
        <v>525</v>
      </c>
      <c r="F36" s="7" t="n"/>
      <c r="G36" s="7" t="n"/>
      <c r="H36" s="5" t="inlineStr">
        <is>
          <t>thin</t>
        </is>
      </c>
      <c r="I36" s="5" t="inlineStr">
        <is>
          <t>2026-09-19</t>
        </is>
      </c>
      <c r="J36" s="5" t="inlineStr">
        <is>
          <t>https://gunwatcher.com/gun-value-sold-information/market-price?itemName=m%26p15+sport+ii</t>
        </is>
      </c>
      <c r="K36" s="5" t="inlineStr">
        <is>
          <t>M-LOK versions and extra mags help</t>
        </is>
      </c>
    </row>
    <row r="37">
      <c r="A37" s="5" t="inlineStr">
        <is>
          <t>a34</t>
        </is>
      </c>
      <c r="B37" s="5" t="inlineStr">
        <is>
          <t>g5</t>
        </is>
      </c>
      <c r="C37" s="5" t="inlineStr">
        <is>
          <t>Ruger AR-556</t>
        </is>
      </c>
      <c r="D37" s="6" t="n">
        <v>425</v>
      </c>
      <c r="E37" s="6" t="n">
        <v>500</v>
      </c>
      <c r="F37" s="7" t="n"/>
      <c r="G37" s="7" t="n"/>
      <c r="H37" s="5" t="inlineStr">
        <is>
          <t>fair</t>
        </is>
      </c>
      <c r="I37" s="5" t="inlineStr">
        <is>
          <t>2026-09-19</t>
        </is>
      </c>
      <c r="J37" s="5" t="inlineStr">
        <is>
          <t>https://gunwatcher.com/gun-value-sold-information/market-price?itemName=ruger+ar-556</t>
        </is>
      </c>
      <c r="K37" s="5" t="inlineStr">
        <is>
          <t>Free-float MPR higher</t>
        </is>
      </c>
    </row>
    <row r="38">
      <c r="A38" s="5" t="inlineStr">
        <is>
          <t>a35</t>
        </is>
      </c>
      <c r="B38" s="5" t="inlineStr">
        <is>
          <t>SKS rifle</t>
        </is>
      </c>
      <c r="C38" s="5" t="inlineStr">
        <is>
          <t>SKS</t>
        </is>
      </c>
      <c r="D38" s="6" t="n">
        <v>450</v>
      </c>
      <c r="E38" s="6" t="n">
        <v>625</v>
      </c>
      <c r="F38" s="7" t="n"/>
      <c r="G38" s="7" t="n"/>
      <c r="H38" s="5" t="inlineStr">
        <is>
          <t>fair</t>
        </is>
      </c>
      <c r="I38" s="5" t="inlineStr">
        <is>
          <t>2026-09-19</t>
        </is>
      </c>
      <c r="J38" s="5" t="inlineStr">
        <is>
          <t>https://gunwatcher.com/gun-value-sold-information/market-price?itemName=sks</t>
        </is>
      </c>
      <c r="K38" s="5" t="inlineStr">
        <is>
          <t>Matching Chinese over Yugo; sporterized much lower</t>
        </is>
      </c>
    </row>
    <row r="39">
      <c r="A39" s="5" t="inlineStr">
        <is>
          <t>a36</t>
        </is>
      </c>
      <c r="B39" s="5" t="inlineStr">
        <is>
          <t>AK-pattern rifle</t>
        </is>
      </c>
      <c r="C39" s="5" t="inlineStr">
        <is>
          <t>AK-pattern rifle</t>
        </is>
      </c>
      <c r="D39" s="6" t="n">
        <v>625</v>
      </c>
      <c r="E39" s="6" t="n">
        <v>825</v>
      </c>
      <c r="F39" s="7" t="n"/>
      <c r="G39" s="7" t="n"/>
      <c r="H39" s="5" t="inlineStr">
        <is>
          <t>fair</t>
        </is>
      </c>
      <c r="I39" s="5" t="inlineStr">
        <is>
          <t>2026-09-19</t>
        </is>
      </c>
      <c r="J39" s="5" t="inlineStr">
        <is>
          <t>https://gunwatcher.com/gun-value-sold-information/market-price?itemName=wasr-10</t>
        </is>
      </c>
      <c r="K39" s="5" t="inlineStr">
        <is>
          <t>WASR-10 and forged builds higher</t>
        </is>
      </c>
    </row>
    <row r="40">
      <c r="A40" s="5" t="inlineStr">
        <is>
          <t>a37a</t>
        </is>
      </c>
      <c r="B40" s="5" t="inlineStr">
        <is>
          <t>g9</t>
        </is>
      </c>
      <c r="C40" s="5" t="inlineStr">
        <is>
          <t>CVA Accura</t>
        </is>
      </c>
      <c r="D40" s="6" t="n">
        <v>400</v>
      </c>
      <c r="E40" s="6" t="n">
        <v>525</v>
      </c>
      <c r="F40" s="7" t="n"/>
      <c r="G40" s="7" t="n"/>
      <c r="H40" s="5" t="inlineStr">
        <is>
          <t>thin</t>
        </is>
      </c>
      <c r="I40" s="5" t="inlineStr">
        <is>
          <t>2026-09-19</t>
        </is>
      </c>
      <c r="J40" s="5" t="inlineStr">
        <is>
          <t>https://gunwatcher.com/gun-value-sold-information/market-price?itemName=cva+accura</t>
        </is>
      </c>
      <c r="K40" s="5" t="inlineStr">
        <is>
          <t>Scope and case add</t>
        </is>
      </c>
    </row>
    <row r="41">
      <c r="A41" s="5" t="inlineStr">
        <is>
          <t>a37b</t>
        </is>
      </c>
      <c r="B41" s="5" t="inlineStr">
        <is>
          <t>g9</t>
        </is>
      </c>
      <c r="C41" s="5" t="inlineStr">
        <is>
          <t>CVA Optima</t>
        </is>
      </c>
      <c r="D41" s="6" t="n">
        <v>190</v>
      </c>
      <c r="E41" s="6" t="n">
        <v>260</v>
      </c>
      <c r="F41" s="7" t="n"/>
      <c r="G41" s="7" t="n"/>
      <c r="H41" s="5" t="inlineStr">
        <is>
          <t>thin</t>
        </is>
      </c>
      <c r="I41" s="5" t="inlineStr">
        <is>
          <t>2026-09-19</t>
        </is>
      </c>
      <c r="J41" s="5" t="inlineStr">
        <is>
          <t>https://gunwatcher.com/gun-value-sold-information/market-price?itemName=cva+optima</t>
        </is>
      </c>
      <c r="K41" s="5" t="inlineStr">
        <is>
          <t>Scope and case add</t>
        </is>
      </c>
    </row>
    <row r="42">
      <c r="A42" s="5" t="inlineStr">
        <is>
          <t>a37c</t>
        </is>
      </c>
      <c r="B42" s="5" t="inlineStr">
        <is>
          <t>g9</t>
        </is>
      </c>
      <c r="C42" s="5" t="inlineStr">
        <is>
          <t>CVA Wolf</t>
        </is>
      </c>
      <c r="D42" s="6" t="n">
        <v>125</v>
      </c>
      <c r="E42" s="6" t="n">
        <v>175</v>
      </c>
      <c r="F42" s="7" t="n"/>
      <c r="G42" s="7" t="n"/>
      <c r="H42" s="5" t="inlineStr">
        <is>
          <t>thin</t>
        </is>
      </c>
      <c r="I42" s="5" t="inlineStr">
        <is>
          <t>2026-09-19</t>
        </is>
      </c>
      <c r="J42" s="5" t="inlineStr">
        <is>
          <t>https://gunwatcher.com/gun-value-sold-information/market-price?itemName=cva+wolf</t>
        </is>
      </c>
      <c r="K42" s="5" t="inlineStr">
        <is>
          <t>Entry-level; scope adds a little</t>
        </is>
      </c>
    </row>
    <row r="43">
      <c r="A43" s="5" t="inlineStr">
        <is>
          <t>a38a</t>
        </is>
      </c>
      <c r="B43" s="5" t="inlineStr">
        <is>
          <t>g9</t>
        </is>
      </c>
      <c r="C43" s="5" t="inlineStr">
        <is>
          <t>Thompson/Center Encore</t>
        </is>
      </c>
      <c r="D43" s="6" t="n">
        <v>550</v>
      </c>
      <c r="E43" s="6" t="n">
        <v>700</v>
      </c>
      <c r="F43" s="7" t="n"/>
      <c r="G43" s="7" t="n"/>
      <c r="H43" s="5" t="inlineStr">
        <is>
          <t>thin</t>
        </is>
      </c>
      <c r="I43" s="5" t="inlineStr">
        <is>
          <t>2026-09-19</t>
        </is>
      </c>
      <c r="J43" s="5" t="inlineStr">
        <is>
          <t>https://gunwatcher.com/gun-value-sold-information/market-price?itemName=encore+209x50</t>
        </is>
      </c>
      <c r="K43" s="5" t="inlineStr">
        <is>
          <t>Pro Hunter on top</t>
        </is>
      </c>
    </row>
    <row r="44">
      <c r="A44" s="5" t="inlineStr">
        <is>
          <t>a38b</t>
        </is>
      </c>
      <c r="B44" s="5" t="inlineStr">
        <is>
          <t>g9</t>
        </is>
      </c>
      <c r="C44" s="5" t="inlineStr">
        <is>
          <t>Thompson/Center Impact</t>
        </is>
      </c>
      <c r="D44" s="6" t="n">
        <v>175</v>
      </c>
      <c r="E44" s="6" t="n">
        <v>250</v>
      </c>
      <c r="F44" s="7" t="n"/>
      <c r="G44" s="7" t="n"/>
      <c r="H44" s="5" t="inlineStr">
        <is>
          <t>thin</t>
        </is>
      </c>
      <c r="I44" s="5" t="inlineStr">
        <is>
          <t>2026-09-19</t>
        </is>
      </c>
      <c r="J44" s="5" t="inlineStr">
        <is>
          <t>https://gunwatcher.com/gun-value-sold-information/market-price?itemName=thompson+center+impact</t>
        </is>
      </c>
      <c r="K44" s="5" t="inlineStr">
        <is>
          <t>Entry-level break-action</t>
        </is>
      </c>
    </row>
    <row r="45">
      <c r="A45" s="5" t="inlineStr">
        <is>
          <t>b1</t>
        </is>
      </c>
      <c r="B45" s="5" t="inlineStr">
        <is>
          <t>g7</t>
        </is>
      </c>
      <c r="C45" s="5" t="inlineStr">
        <is>
          <t>Glock 17</t>
        </is>
      </c>
      <c r="D45" s="6" t="n">
        <v>370</v>
      </c>
      <c r="E45" s="6" t="n">
        <v>440</v>
      </c>
      <c r="F45" s="7" t="n"/>
      <c r="G45" s="7" t="n"/>
      <c r="H45" s="5" t="inlineStr">
        <is>
          <t>fair</t>
        </is>
      </c>
      <c r="I45" s="5" t="inlineStr">
        <is>
          <t>2026-09-19</t>
        </is>
      </c>
      <c r="J45" s="5" t="inlineStr">
        <is>
          <t>https://gunwatcher.com/glock-17-gen-5-value-sold-information/market-price</t>
        </is>
      </c>
      <c r="K45" s="5" t="inlineStr">
        <is>
          <t>Gen 5 and MOS on top; police trade-ins lower</t>
        </is>
      </c>
    </row>
    <row r="46">
      <c r="A46" s="5" t="inlineStr">
        <is>
          <t>b2</t>
        </is>
      </c>
      <c r="B46" s="5" t="inlineStr">
        <is>
          <t>g7</t>
        </is>
      </c>
      <c r="C46" s="5" t="inlineStr">
        <is>
          <t>Glock 19</t>
        </is>
      </c>
      <c r="D46" s="6" t="n">
        <v>390</v>
      </c>
      <c r="E46" s="6" t="n">
        <v>470</v>
      </c>
      <c r="F46" s="7" t="n"/>
      <c r="G46" s="7" t="n"/>
      <c r="H46" s="5" t="inlineStr">
        <is>
          <t>good</t>
        </is>
      </c>
      <c r="I46" s="5" t="inlineStr">
        <is>
          <t>2026-09-19</t>
        </is>
      </c>
      <c r="J46" s="5" t="inlineStr">
        <is>
          <t>https://gunwatcher.com/glock-19-gen-5-value-sold-information/market-price</t>
        </is>
      </c>
      <c r="K46" s="5" t="inlineStr">
        <is>
          <t>Gen 5 about $50 over Gen 4; night sights add</t>
        </is>
      </c>
    </row>
    <row r="47">
      <c r="A47" s="5" t="inlineStr">
        <is>
          <t>b3</t>
        </is>
      </c>
      <c r="B47" s="5" t="inlineStr">
        <is>
          <t>g7</t>
        </is>
      </c>
      <c r="C47" s="5" t="inlineStr">
        <is>
          <t>Glock 26</t>
        </is>
      </c>
      <c r="D47" s="6" t="n">
        <v>370</v>
      </c>
      <c r="E47" s="6" t="n">
        <v>440</v>
      </c>
      <c r="F47" s="7" t="n"/>
      <c r="G47" s="7" t="n"/>
      <c r="H47" s="5" t="inlineStr">
        <is>
          <t>fair</t>
        </is>
      </c>
      <c r="I47" s="5" t="inlineStr">
        <is>
          <t>2026-09-19</t>
        </is>
      </c>
      <c r="J47" s="5" t="inlineStr">
        <is>
          <t>https://gunwatcher.com/glock-26-value-sold-information/market-price</t>
        </is>
      </c>
      <c r="K47" s="5" t="inlineStr">
        <is>
          <t>Gen 5 and extra mags on top</t>
        </is>
      </c>
    </row>
    <row r="48">
      <c r="A48" s="5" t="inlineStr">
        <is>
          <t>b4</t>
        </is>
      </c>
      <c r="B48" s="5" t="inlineStr">
        <is>
          <t>g7</t>
        </is>
      </c>
      <c r="C48" s="5" t="inlineStr">
        <is>
          <t>Glock 43 / 43X</t>
        </is>
      </c>
      <c r="D48" s="6" t="n">
        <v>350</v>
      </c>
      <c r="E48" s="6" t="n">
        <v>430</v>
      </c>
      <c r="F48" s="7" t="n"/>
      <c r="G48" s="7" t="n"/>
      <c r="H48" s="5" t="inlineStr">
        <is>
          <t>fair</t>
        </is>
      </c>
      <c r="I48" s="5" t="inlineStr">
        <is>
          <t>2026-09-19</t>
        </is>
      </c>
      <c r="J48" s="5" t="inlineStr">
        <is>
          <t>https://gunwatcher.com/glock-43x-value-sold-information/market-price</t>
        </is>
      </c>
      <c r="K48" s="5" t="inlineStr">
        <is>
          <t>43X and MOS on top; G43 about $50 less</t>
        </is>
      </c>
    </row>
    <row r="49">
      <c r="A49" s="5" t="inlineStr">
        <is>
          <t>b5</t>
        </is>
      </c>
      <c r="B49" s="5" t="inlineStr">
        <is>
          <t>g7</t>
        </is>
      </c>
      <c r="C49" s="5" t="inlineStr">
        <is>
          <t>Glock 48</t>
        </is>
      </c>
      <c r="D49" s="6" t="n">
        <v>360</v>
      </c>
      <c r="E49" s="6" t="n">
        <v>425</v>
      </c>
      <c r="F49" s="7" t="n"/>
      <c r="G49" s="7" t="n"/>
      <c r="H49" s="5" t="inlineStr">
        <is>
          <t>fair</t>
        </is>
      </c>
      <c r="I49" s="5" t="inlineStr">
        <is>
          <t>2026-09-19</t>
        </is>
      </c>
      <c r="J49" s="5" t="inlineStr">
        <is>
          <t>https://gunwatcher.com/glock-48-value-sold-information/market-price</t>
        </is>
      </c>
      <c r="K49" s="5" t="inlineStr">
        <is>
          <t>MOS and two-tone bring more</t>
        </is>
      </c>
    </row>
    <row r="50">
      <c r="A50" s="5" t="inlineStr">
        <is>
          <t>b6</t>
        </is>
      </c>
      <c r="B50" s="5" t="inlineStr">
        <is>
          <t>g7</t>
        </is>
      </c>
      <c r="C50" s="5" t="inlineStr">
        <is>
          <t>Glock 22 / 23 (.40)</t>
        </is>
      </c>
      <c r="D50" s="6" t="n">
        <v>300</v>
      </c>
      <c r="E50" s="6" t="n">
        <v>370</v>
      </c>
      <c r="F50" s="7" t="n"/>
      <c r="G50" s="7" t="n"/>
      <c r="H50" s="5" t="inlineStr">
        <is>
          <t>fair</t>
        </is>
      </c>
      <c r="I50" s="5" t="inlineStr">
        <is>
          <t>2026-09-19</t>
        </is>
      </c>
      <c r="J50" s="5" t="inlineStr">
        <is>
          <t>https://gunwatcher.com/glock-23-value-sold-information/market-price</t>
        </is>
      </c>
      <c r="K50" s="5" t="inlineStr">
        <is>
          <t>.40 is soft; lots of police trade-ins</t>
        </is>
      </c>
    </row>
    <row r="51">
      <c r="A51" s="5" t="inlineStr">
        <is>
          <t>b7</t>
        </is>
      </c>
      <c r="B51" s="5" t="inlineStr">
        <is>
          <t>g7</t>
        </is>
      </c>
      <c r="C51" s="5" t="inlineStr">
        <is>
          <t>Sig Sauer P365</t>
        </is>
      </c>
      <c r="D51" s="6" t="n">
        <v>375</v>
      </c>
      <c r="E51" s="6" t="n">
        <v>475</v>
      </c>
      <c r="F51" s="7" t="n"/>
      <c r="G51" s="7" t="n"/>
      <c r="H51" s="5" t="inlineStr">
        <is>
          <t>fair</t>
        </is>
      </c>
      <c r="I51" s="5" t="inlineStr">
        <is>
          <t>2026-09-19</t>
        </is>
      </c>
      <c r="J51" s="5" t="inlineStr">
        <is>
          <t>https://gunwatcher.com/sig-sauer-p365-value-sold-information/market-price</t>
        </is>
      </c>
      <c r="K51" s="5" t="inlineStr">
        <is>
          <t>XL, X-Macro or optic on top</t>
        </is>
      </c>
    </row>
    <row r="52">
      <c r="A52" s="5" t="inlineStr">
        <is>
          <t>b8</t>
        </is>
      </c>
      <c r="B52" s="5" t="inlineStr">
        <is>
          <t>g7</t>
        </is>
      </c>
      <c r="C52" s="5" t="inlineStr">
        <is>
          <t>Sig Sauer P320</t>
        </is>
      </c>
      <c r="D52" s="6" t="n">
        <v>360</v>
      </c>
      <c r="E52" s="6" t="n">
        <v>440</v>
      </c>
      <c r="F52" s="7" t="n"/>
      <c r="G52" s="7" t="n"/>
      <c r="H52" s="5" t="inlineStr">
        <is>
          <t>fair</t>
        </is>
      </c>
      <c r="I52" s="5" t="inlineStr">
        <is>
          <t>2026-09-19</t>
        </is>
      </c>
      <c r="J52" s="5" t="inlineStr">
        <is>
          <t>https://gunwatcher.com/sig-sauer-p320-value-sold-information/market-price</t>
        </is>
      </c>
      <c r="K52" s="5" t="inlineStr">
        <is>
          <t>Trade-ins and holster wear cheaper</t>
        </is>
      </c>
    </row>
    <row r="53">
      <c r="A53" s="5" t="inlineStr">
        <is>
          <t>b9</t>
        </is>
      </c>
      <c r="B53" s="5" t="inlineStr">
        <is>
          <t>g7</t>
        </is>
      </c>
      <c r="C53" s="5" t="inlineStr">
        <is>
          <t>Sig Sauer P226 / P229</t>
        </is>
      </c>
      <c r="D53" s="6" t="n">
        <v>575</v>
      </c>
      <c r="E53" s="6" t="n">
        <v>800</v>
      </c>
      <c r="F53" s="7" t="n"/>
      <c r="G53" s="7" t="n"/>
      <c r="H53" s="5" t="inlineStr">
        <is>
          <t>fair</t>
        </is>
      </c>
      <c r="I53" s="5" t="inlineStr">
        <is>
          <t>2026-09-19</t>
        </is>
      </c>
      <c r="J53" s="5" t="inlineStr">
        <is>
          <t>https://gunwatcher.com/sig-sauer-p226-value-sold-information/market-price</t>
        </is>
      </c>
      <c r="K53" s="5" t="inlineStr">
        <is>
          <t>Police trade-ins $450–650; Legion much higher</t>
        </is>
      </c>
    </row>
    <row r="54">
      <c r="A54" s="5" t="inlineStr">
        <is>
          <t>b10</t>
        </is>
      </c>
      <c r="B54" s="5" t="inlineStr">
        <is>
          <t>g7</t>
        </is>
      </c>
      <c r="C54" s="5" t="inlineStr">
        <is>
          <t>S&amp;W M&amp;P9 2.0</t>
        </is>
      </c>
      <c r="D54" s="6" t="n">
        <v>320</v>
      </c>
      <c r="E54" s="6" t="n">
        <v>400</v>
      </c>
      <c r="F54" s="7" t="n"/>
      <c r="G54" s="7" t="n"/>
      <c r="H54" s="5" t="inlineStr">
        <is>
          <t>fair</t>
        </is>
      </c>
      <c r="I54" s="5" t="inlineStr">
        <is>
          <t>2026-09-19</t>
        </is>
      </c>
      <c r="J54" s="5" t="inlineStr">
        <is>
          <t>https://gunwatcher.com/smith-wesson-m-p9-value-sold-information/market-price</t>
        </is>
      </c>
      <c r="K54" s="5" t="inlineStr">
        <is>
          <t>Optics-ready on top; 1.0 models lower</t>
        </is>
      </c>
    </row>
    <row r="55">
      <c r="A55" s="5" t="inlineStr">
        <is>
          <t>b11</t>
        </is>
      </c>
      <c r="B55" s="5" t="inlineStr">
        <is>
          <t>g7</t>
        </is>
      </c>
      <c r="C55" s="5" t="inlineStr">
        <is>
          <t>S&amp;W M&amp;P Shield / Shield Plus</t>
        </is>
      </c>
      <c r="D55" s="6" t="n">
        <v>260</v>
      </c>
      <c r="E55" s="6" t="n">
        <v>340</v>
      </c>
      <c r="F55" s="7" t="n"/>
      <c r="G55" s="7" t="n"/>
      <c r="H55" s="5" t="inlineStr">
        <is>
          <t>fair</t>
        </is>
      </c>
      <c r="I55" s="5" t="inlineStr">
        <is>
          <t>2026-09-19</t>
        </is>
      </c>
      <c r="J55" s="5" t="inlineStr">
        <is>
          <t>https://gunwatcher.com/smith-wesson-m-p-shield-plus-value-sold-information/market-price</t>
        </is>
      </c>
      <c r="K55" s="5" t="inlineStr">
        <is>
          <t>Shield Plus about $50 over the original</t>
        </is>
      </c>
    </row>
    <row r="56">
      <c r="A56" s="5" t="inlineStr">
        <is>
          <t>b12</t>
        </is>
      </c>
      <c r="B56" s="5" t="inlineStr">
        <is>
          <t>g7</t>
        </is>
      </c>
      <c r="C56" s="5" t="inlineStr">
        <is>
          <t>S&amp;W Bodyguard 380</t>
        </is>
      </c>
      <c r="D56" s="6" t="n">
        <v>220</v>
      </c>
      <c r="E56" s="6" t="n">
        <v>280</v>
      </c>
      <c r="F56" s="7" t="n"/>
      <c r="G56" s="7" t="n"/>
      <c r="H56" s="5" t="inlineStr">
        <is>
          <t>fair</t>
        </is>
      </c>
      <c r="I56" s="5" t="inlineStr">
        <is>
          <t>2026-09-19</t>
        </is>
      </c>
      <c r="J56" s="5" t="inlineStr">
        <is>
          <t>https://gunwatcher.com/gun-value-sold-information/market-price?itemName=bodyguard+380</t>
        </is>
      </c>
      <c r="K56" s="5" t="inlineStr">
        <is>
          <t>Laser adds; Bodyguard 2.0 higher</t>
        </is>
      </c>
    </row>
    <row r="57">
      <c r="A57" s="5" t="inlineStr">
        <is>
          <t>b13</t>
        </is>
      </c>
      <c r="B57" s="5" t="inlineStr">
        <is>
          <t>g7</t>
        </is>
      </c>
      <c r="C57" s="5" t="inlineStr">
        <is>
          <t>Springfield Hellcat</t>
        </is>
      </c>
      <c r="D57" s="6" t="n">
        <v>340</v>
      </c>
      <c r="E57" s="6" t="n">
        <v>410</v>
      </c>
      <c r="F57" s="7" t="n"/>
      <c r="G57" s="7" t="n"/>
      <c r="H57" s="5" t="inlineStr">
        <is>
          <t>fair</t>
        </is>
      </c>
      <c r="I57" s="5" t="inlineStr">
        <is>
          <t>2026-09-19</t>
        </is>
      </c>
      <c r="J57" s="5" t="inlineStr">
        <is>
          <t>https://gunwatcher.com/gun-value-sold-information/market-price?itemName=hellcat</t>
        </is>
      </c>
      <c r="K57" s="5" t="inlineStr">
        <is>
          <t>OSP, Pro or a mounted optic on top</t>
        </is>
      </c>
    </row>
    <row r="58">
      <c r="A58" s="5" t="inlineStr">
        <is>
          <t>b14</t>
        </is>
      </c>
      <c r="B58" s="5" t="inlineStr">
        <is>
          <t>g7</t>
        </is>
      </c>
      <c r="C58" s="5" t="inlineStr">
        <is>
          <t>Springfield XD / XDs</t>
        </is>
      </c>
      <c r="D58" s="6" t="n">
        <v>240</v>
      </c>
      <c r="E58" s="6" t="n">
        <v>310</v>
      </c>
      <c r="F58" s="7" t="n"/>
      <c r="G58" s="7" t="n"/>
      <c r="H58" s="5" t="inlineStr">
        <is>
          <t>fair</t>
        </is>
      </c>
      <c r="I58" s="5" t="inlineStr">
        <is>
          <t>2026-09-19</t>
        </is>
      </c>
      <c r="J58" s="5" t="inlineStr">
        <is>
          <t>https://gunwatcher.com/springfield-xd-value-sold-information/market-price</t>
        </is>
      </c>
      <c r="K58" s="5" t="inlineStr">
        <is>
          <t>XD Mod.2 and Elite above</t>
        </is>
      </c>
    </row>
    <row r="59">
      <c r="A59" s="5" t="inlineStr">
        <is>
          <t>b15</t>
        </is>
      </c>
      <c r="B59" s="5" t="inlineStr">
        <is>
          <t>g7</t>
        </is>
      </c>
      <c r="C59" s="5" t="inlineStr">
        <is>
          <t>Taurus G2C / G3C</t>
        </is>
      </c>
      <c r="D59" s="6" t="n">
        <v>130</v>
      </c>
      <c r="E59" s="6" t="n">
        <v>185</v>
      </c>
      <c r="F59" s="7" t="n"/>
      <c r="G59" s="7" t="n"/>
      <c r="H59" s="5" t="inlineStr">
        <is>
          <t>fair</t>
        </is>
      </c>
      <c r="I59" s="5" t="inlineStr">
        <is>
          <t>2026-09-19</t>
        </is>
      </c>
      <c r="J59" s="5" t="inlineStr">
        <is>
          <t>https://gunwatcher.com/gun-value-sold-information/market-price?itemName=taurus+g3c</t>
        </is>
      </c>
      <c r="K59" s="5" t="inlineStr">
        <is>
          <t>Cheap new price caps it; G3C over G2C</t>
        </is>
      </c>
    </row>
    <row r="60">
      <c r="A60" s="5" t="inlineStr">
        <is>
          <t>b16</t>
        </is>
      </c>
      <c r="B60" s="5" t="inlineStr">
        <is>
          <t>g7</t>
        </is>
      </c>
      <c r="C60" s="5" t="inlineStr">
        <is>
          <t>Taurus G3 / GX4</t>
        </is>
      </c>
      <c r="D60" s="6" t="n">
        <v>145</v>
      </c>
      <c r="E60" s="6" t="n">
        <v>210</v>
      </c>
      <c r="F60" s="7" t="n"/>
      <c r="G60" s="7" t="n"/>
      <c r="H60" s="5" t="inlineStr">
        <is>
          <t>fair</t>
        </is>
      </c>
      <c r="I60" s="5" t="inlineStr">
        <is>
          <t>2026-09-19</t>
        </is>
      </c>
      <c r="J60" s="5" t="inlineStr">
        <is>
          <t>https://gunwatcher.com/gun-value-sold-information/market-price?itemName=taurus+gx4</t>
        </is>
      </c>
      <c r="K60" s="5" t="inlineStr">
        <is>
          <t>GX4 above G3; optic cut adds</t>
        </is>
      </c>
    </row>
    <row r="61">
      <c r="A61" s="5" t="inlineStr">
        <is>
          <t>b17</t>
        </is>
      </c>
      <c r="B61" s="5" t="inlineStr">
        <is>
          <t>g7</t>
        </is>
      </c>
      <c r="C61" s="5" t="inlineStr">
        <is>
          <t>Ruger LCP</t>
        </is>
      </c>
      <c r="D61" s="6" t="n">
        <v>170</v>
      </c>
      <c r="E61" s="6" t="n">
        <v>230</v>
      </c>
      <c r="F61" s="7" t="n"/>
      <c r="G61" s="7" t="n"/>
      <c r="H61" s="5" t="inlineStr">
        <is>
          <t>fair</t>
        </is>
      </c>
      <c r="I61" s="5" t="inlineStr">
        <is>
          <t>2026-09-19</t>
        </is>
      </c>
      <c r="J61" s="5" t="inlineStr">
        <is>
          <t>https://gunwatcher.com/gun-value-sold-information/market-price?itemName=ruger+lcp+max</t>
        </is>
      </c>
      <c r="K61" s="5" t="inlineStr">
        <is>
          <t>LCP MAX on top; original LCP bottom</t>
        </is>
      </c>
    </row>
    <row r="62">
      <c r="A62" s="5" t="inlineStr">
        <is>
          <t>b18</t>
        </is>
      </c>
      <c r="B62" s="5" t="inlineStr">
        <is>
          <t>g7</t>
        </is>
      </c>
      <c r="C62" s="5" t="inlineStr">
        <is>
          <t>Ruger Security-9 / Max-9</t>
        </is>
      </c>
      <c r="D62" s="6" t="n">
        <v>185</v>
      </c>
      <c r="E62" s="6" t="n">
        <v>245</v>
      </c>
      <c r="F62" s="7" t="n"/>
      <c r="G62" s="7" t="n"/>
      <c r="H62" s="5" t="inlineStr">
        <is>
          <t>fair</t>
        </is>
      </c>
      <c r="I62" s="5" t="inlineStr">
        <is>
          <t>2026-09-19</t>
        </is>
      </c>
      <c r="J62" s="5" t="inlineStr">
        <is>
          <t>https://gunwatcher.com/gun-value-sold-information/market-price?itemName=ruger+max-9</t>
        </is>
      </c>
      <c r="K62" s="5" t="inlineStr">
        <is>
          <t>Max-9 edges Security-9</t>
        </is>
      </c>
    </row>
    <row r="63">
      <c r="A63" s="5" t="inlineStr">
        <is>
          <t>b19</t>
        </is>
      </c>
      <c r="B63" s="5" t="inlineStr">
        <is>
          <t>g7</t>
        </is>
      </c>
      <c r="C63" s="5" t="inlineStr">
        <is>
          <t>Ruger Mark IV</t>
        </is>
      </c>
      <c r="D63" s="6" t="n">
        <v>370</v>
      </c>
      <c r="E63" s="6" t="n">
        <v>490</v>
      </c>
      <c r="F63" s="7" t="n"/>
      <c r="G63" s="7" t="n"/>
      <c r="H63" s="5" t="inlineStr">
        <is>
          <t>fair</t>
        </is>
      </c>
      <c r="I63" s="5" t="inlineStr">
        <is>
          <t>2026-09-19</t>
        </is>
      </c>
      <c r="J63" s="5" t="inlineStr">
        <is>
          <t>https://gunwatcher.com/gun-value-sold-information/market-price?itemName=ruger+mark+iv</t>
        </is>
      </c>
      <c r="K63" s="5" t="inlineStr">
        <is>
          <t>Target, Hunter and Lite above 22/45</t>
        </is>
      </c>
    </row>
    <row r="64">
      <c r="A64" s="5" t="inlineStr">
        <is>
          <t>b20</t>
        </is>
      </c>
      <c r="B64" s="5" t="inlineStr">
        <is>
          <t>g7</t>
        </is>
      </c>
      <c r="C64" s="5" t="inlineStr">
        <is>
          <t>Canik TP9</t>
        </is>
      </c>
      <c r="D64" s="6" t="n">
        <v>265</v>
      </c>
      <c r="E64" s="6" t="n">
        <v>335</v>
      </c>
      <c r="F64" s="7" t="n"/>
      <c r="G64" s="7" t="n"/>
      <c r="H64" s="5" t="inlineStr">
        <is>
          <t>fair</t>
        </is>
      </c>
      <c r="I64" s="5" t="inlineStr">
        <is>
          <t>2026-09-19</t>
        </is>
      </c>
      <c r="J64" s="5" t="inlineStr">
        <is>
          <t>https://gunwatcher.com/gun-value-sold-information/market-price?itemName=canik+tp9sf+elite</t>
        </is>
      </c>
      <c r="K64" s="5" t="inlineStr">
        <is>
          <t>SFx, Mete and Rival on top</t>
        </is>
      </c>
    </row>
    <row r="65">
      <c r="A65" s="5" t="inlineStr">
        <is>
          <t>b21a</t>
        </is>
      </c>
      <c r="B65" s="5" t="inlineStr">
        <is>
          <t>g7</t>
        </is>
      </c>
      <c r="C65" s="5" t="inlineStr">
        <is>
          <t>CZ P-10</t>
        </is>
      </c>
      <c r="D65" s="6" t="n">
        <v>330</v>
      </c>
      <c r="E65" s="6" t="n">
        <v>400</v>
      </c>
      <c r="F65" s="7" t="n"/>
      <c r="G65" s="7" t="n"/>
      <c r="H65" s="5" t="inlineStr">
        <is>
          <t>thin</t>
        </is>
      </c>
      <c r="I65" s="5" t="inlineStr">
        <is>
          <t>2026-09-19</t>
        </is>
      </c>
      <c r="J65" s="5" t="inlineStr">
        <is>
          <t>https://gunwatcher.com/gun-value-sold-information/market-price?itemName=cz+p-10</t>
        </is>
      </c>
      <c r="K65" s="5" t="inlineStr">
        <is>
          <t>Optics-ready adds</t>
        </is>
      </c>
    </row>
    <row r="66">
      <c r="A66" s="5" t="inlineStr">
        <is>
          <t>b21b</t>
        </is>
      </c>
      <c r="B66" s="5" t="inlineStr">
        <is>
          <t>g7</t>
        </is>
      </c>
      <c r="C66" s="5" t="inlineStr">
        <is>
          <t>CZ 75</t>
        </is>
      </c>
      <c r="D66" s="6" t="n">
        <v>550</v>
      </c>
      <c r="E66" s="6" t="n">
        <v>700</v>
      </c>
      <c r="F66" s="7" t="n"/>
      <c r="G66" s="7" t="n"/>
      <c r="H66" s="5" t="inlineStr">
        <is>
          <t>thin</t>
        </is>
      </c>
      <c r="I66" s="5" t="inlineStr">
        <is>
          <t>2026-09-19</t>
        </is>
      </c>
      <c r="J66" s="5" t="inlineStr">
        <is>
          <t>https://gunwatcher.com/gun-value-sold-information/market-price?itemName=cz+75+b</t>
        </is>
      </c>
      <c r="K66" s="5" t="inlineStr">
        <is>
          <t>SP-01 and Shadow on top</t>
        </is>
      </c>
    </row>
    <row r="67">
      <c r="A67" s="5" t="inlineStr">
        <is>
          <t>b22</t>
        </is>
      </c>
      <c r="B67" s="5" t="inlineStr">
        <is>
          <t>g7</t>
        </is>
      </c>
      <c r="C67" s="5" t="inlineStr">
        <is>
          <t>Beretta 92FS / M9</t>
        </is>
      </c>
      <c r="D67" s="6" t="n">
        <v>450</v>
      </c>
      <c r="E67" s="6" t="n">
        <v>575</v>
      </c>
      <c r="F67" s="7" t="n"/>
      <c r="G67" s="7" t="n"/>
      <c r="H67" s="5" t="inlineStr">
        <is>
          <t>fair</t>
        </is>
      </c>
      <c r="I67" s="5" t="inlineStr">
        <is>
          <t>2026-09-19</t>
        </is>
      </c>
      <c r="J67" s="5" t="inlineStr">
        <is>
          <t>https://gunwatcher.com/gun-value-sold-information/market-price?itemName=beretta+92fs</t>
        </is>
      </c>
      <c r="K67" s="5" t="inlineStr">
        <is>
          <t>Italian and Inox on top; police trade-ins near $400</t>
        </is>
      </c>
    </row>
    <row r="68">
      <c r="A68" s="5" t="inlineStr">
        <is>
          <t>b23</t>
        </is>
      </c>
      <c r="B68" s="5" t="inlineStr">
        <is>
          <t>g7</t>
        </is>
      </c>
      <c r="C68" s="5" t="inlineStr">
        <is>
          <t>1911 (Rock Island, Tisas, Springfield Mil-Spec)</t>
        </is>
      </c>
      <c r="D68" s="6" t="n">
        <v>330</v>
      </c>
      <c r="E68" s="6" t="n">
        <v>480</v>
      </c>
      <c r="F68" s="7" t="n"/>
      <c r="G68" s="7" t="n"/>
      <c r="H68" s="5" t="inlineStr">
        <is>
          <t>fair</t>
        </is>
      </c>
      <c r="I68" s="5" t="inlineStr">
        <is>
          <t>2026-09-19</t>
        </is>
      </c>
      <c r="J68" s="5" t="inlineStr">
        <is>
          <t>https://gunwatcher.com/gun-value-sold-information/market-price?itemName=rock+island+1911</t>
        </is>
      </c>
      <c r="K68" s="5" t="inlineStr">
        <is>
          <t>Tisas and RIA $300–400; Springfield $450–550</t>
        </is>
      </c>
    </row>
    <row r="69">
      <c r="A69" s="5" t="inlineStr">
        <is>
          <t>b24</t>
        </is>
      </c>
      <c r="B69" s="5" t="inlineStr">
        <is>
          <t>g7</t>
        </is>
      </c>
      <c r="C69" s="5" t="inlineStr">
        <is>
          <t>Hi-Point C9</t>
        </is>
      </c>
      <c r="D69" s="6" t="n">
        <v>110</v>
      </c>
      <c r="E69" s="6" t="n">
        <v>150</v>
      </c>
      <c r="F69" s="7" t="n"/>
      <c r="G69" s="7" t="n"/>
      <c r="H69" s="5" t="inlineStr">
        <is>
          <t>thin</t>
        </is>
      </c>
      <c r="I69" s="5" t="inlineStr">
        <is>
          <t>2026-09-19</t>
        </is>
      </c>
      <c r="J69" s="5" t="inlineStr">
        <is>
          <t>https://gunwatcher.com/hi-point-c9-value-sold-information/market-price</t>
        </is>
      </c>
      <c r="K69" s="5" t="inlineStr">
        <is>
          <t>Low new price caps it</t>
        </is>
      </c>
    </row>
    <row r="70">
      <c r="A70" s="5" t="inlineStr">
        <is>
          <t>b25</t>
        </is>
      </c>
      <c r="B70" s="5" t="inlineStr">
        <is>
          <t>g7</t>
        </is>
      </c>
      <c r="C70" s="5" t="inlineStr">
        <is>
          <t>SCCY CPX</t>
        </is>
      </c>
      <c r="D70" s="6" t="n">
        <v>100</v>
      </c>
      <c r="E70" s="6" t="n">
        <v>140</v>
      </c>
      <c r="F70" s="7" t="n"/>
      <c r="G70" s="7" t="n"/>
      <c r="H70" s="5" t="inlineStr">
        <is>
          <t>thin</t>
        </is>
      </c>
      <c r="I70" s="5" t="inlineStr">
        <is>
          <t>2026-09-19</t>
        </is>
      </c>
      <c r="J70" s="5" t="inlineStr">
        <is>
          <t>https://gunwatcher.com/gun-value-sold-information/market-price?itemName=sccy+cpx-2</t>
        </is>
      </c>
      <c r="K70" s="5" t="inlineStr">
        <is>
          <t>New CPX-2 near $130 caps it</t>
        </is>
      </c>
    </row>
    <row r="71">
      <c r="A71" s="5" t="inlineStr">
        <is>
          <t>b26</t>
        </is>
      </c>
      <c r="B71" s="5" t="inlineStr">
        <is>
          <t>g8</t>
        </is>
      </c>
      <c r="C71" s="5" t="inlineStr">
        <is>
          <t>S&amp;W 686</t>
        </is>
      </c>
      <c r="D71" s="6" t="n">
        <v>625</v>
      </c>
      <c r="E71" s="6" t="n">
        <v>800</v>
      </c>
      <c r="F71" s="7" t="n"/>
      <c r="G71" s="7" t="n"/>
      <c r="H71" s="5" t="inlineStr">
        <is>
          <t>fair</t>
        </is>
      </c>
      <c r="I71" s="5" t="inlineStr">
        <is>
          <t>2026-09-19</t>
        </is>
      </c>
      <c r="J71" s="5" t="inlineStr">
        <is>
          <t>https://gunwatcher.com/gun-value-sold-information/market-price?itemName=smith+wesson+686</t>
        </is>
      </c>
      <c r="K71" s="5" t="inlineStr">
        <is>
          <t>Pre-lock, 686 Plus and 6 in bring more</t>
        </is>
      </c>
    </row>
    <row r="72">
      <c r="A72" s="5" t="inlineStr">
        <is>
          <t>b27</t>
        </is>
      </c>
      <c r="B72" s="5" t="inlineStr">
        <is>
          <t>g8</t>
        </is>
      </c>
      <c r="C72" s="5" t="inlineStr">
        <is>
          <t>S&amp;W 642 / 638</t>
        </is>
      </c>
      <c r="D72" s="6" t="n">
        <v>320</v>
      </c>
      <c r="E72" s="6" t="n">
        <v>400</v>
      </c>
      <c r="F72" s="7" t="n"/>
      <c r="G72" s="7" t="n"/>
      <c r="H72" s="5" t="inlineStr">
        <is>
          <t>good</t>
        </is>
      </c>
      <c r="I72" s="5" t="inlineStr">
        <is>
          <t>2026-09-19</t>
        </is>
      </c>
      <c r="J72" s="5" t="inlineStr">
        <is>
          <t>https://gunwatcher.com/gun-value-sold-information/market-price?itemName=smith+wesson+642</t>
        </is>
      </c>
      <c r="K72" s="5" t="inlineStr">
        <is>
          <t>No-lock and laser grips add</t>
        </is>
      </c>
    </row>
    <row r="73">
      <c r="A73" s="5" t="inlineStr">
        <is>
          <t>b28</t>
        </is>
      </c>
      <c r="B73" s="5" t="inlineStr">
        <is>
          <t>g8</t>
        </is>
      </c>
      <c r="C73" s="5" t="inlineStr">
        <is>
          <t>Ruger GP100</t>
        </is>
      </c>
      <c r="D73" s="6" t="n">
        <v>540</v>
      </c>
      <c r="E73" s="6" t="n">
        <v>660</v>
      </c>
      <c r="F73" s="7" t="n"/>
      <c r="G73" s="7" t="n"/>
      <c r="H73" s="5" t="inlineStr">
        <is>
          <t>fair</t>
        </is>
      </c>
      <c r="I73" s="5" t="inlineStr">
        <is>
          <t>2026-09-19</t>
        </is>
      </c>
      <c r="J73" s="5" t="inlineStr">
        <is>
          <t>https://gunwatcher.com/gun-value-sold-information/market-price?itemName=ruger+gp100</t>
        </is>
      </c>
      <c r="K73" s="5" t="inlineStr">
        <is>
          <t>Wiley Clapp, Match Champion and 10mm above base</t>
        </is>
      </c>
    </row>
    <row r="74">
      <c r="A74" s="5" t="inlineStr">
        <is>
          <t>b29</t>
        </is>
      </c>
      <c r="B74" s="5" t="inlineStr">
        <is>
          <t>g8</t>
        </is>
      </c>
      <c r="C74" s="5" t="inlineStr">
        <is>
          <t>Ruger SP101</t>
        </is>
      </c>
      <c r="D74" s="6" t="n">
        <v>450</v>
      </c>
      <c r="E74" s="6" t="n">
        <v>560</v>
      </c>
      <c r="F74" s="7" t="n"/>
      <c r="G74" s="7" t="n"/>
      <c r="H74" s="5" t="inlineStr">
        <is>
          <t>fair</t>
        </is>
      </c>
      <c r="I74" s="5" t="inlineStr">
        <is>
          <t>2026-09-19</t>
        </is>
      </c>
      <c r="J74" s="5" t="inlineStr">
        <is>
          <t>https://gunwatcher.com/gun-value-sold-information/market-price?itemName=ruger+sp101</t>
        </is>
      </c>
      <c r="K74" s="5" t="inlineStr">
        <is>
          <t>3 in and 4 in above 2.25 in</t>
        </is>
      </c>
    </row>
    <row r="75">
      <c r="A75" s="5" t="inlineStr">
        <is>
          <t>b30</t>
        </is>
      </c>
      <c r="B75" s="5" t="inlineStr">
        <is>
          <t>g8</t>
        </is>
      </c>
      <c r="C75" s="5" t="inlineStr">
        <is>
          <t>Ruger LCR</t>
        </is>
      </c>
      <c r="D75" s="6" t="n">
        <v>370</v>
      </c>
      <c r="E75" s="6" t="n">
        <v>450</v>
      </c>
      <c r="F75" s="7" t="n"/>
      <c r="G75" s="7" t="n"/>
      <c r="H75" s="5" t="inlineStr">
        <is>
          <t>fair</t>
        </is>
      </c>
      <c r="I75" s="5" t="inlineStr">
        <is>
          <t>2026-09-19</t>
        </is>
      </c>
      <c r="J75" s="5" t="inlineStr">
        <is>
          <t>https://gunwatcher.com/gun-value-sold-information/market-price?itemName=ruger+lcr</t>
        </is>
      </c>
      <c r="K75" s="5" t="inlineStr">
        <is>
          <t>.357 and laser above .38 or .22</t>
        </is>
      </c>
    </row>
    <row r="76">
      <c r="A76" s="5" t="inlineStr">
        <is>
          <t>b31</t>
        </is>
      </c>
      <c r="B76" s="5" t="inlineStr">
        <is>
          <t>g8</t>
        </is>
      </c>
      <c r="C76" s="5" t="inlineStr">
        <is>
          <t>Ruger Blackhawk / Single-Six</t>
        </is>
      </c>
      <c r="D76" s="6" t="n">
        <v>400</v>
      </c>
      <c r="E76" s="6" t="n">
        <v>575</v>
      </c>
      <c r="F76" s="7" t="n"/>
      <c r="G76" s="7" t="n"/>
      <c r="H76" s="5" t="inlineStr">
        <is>
          <t>thin</t>
        </is>
      </c>
      <c r="I76" s="5" t="inlineStr">
        <is>
          <t>2026-09-19</t>
        </is>
      </c>
      <c r="J76" s="5" t="inlineStr">
        <is>
          <t>https://gunwatcher.com/gun-value-sold-information/market-price?itemName=ruger+blackhawk</t>
        </is>
      </c>
      <c r="K76" s="5" t="inlineStr">
        <is>
          <t>Blackhawk above Single-Six; convertibles add</t>
        </is>
      </c>
    </row>
    <row r="77">
      <c r="A77" s="5" t="inlineStr">
        <is>
          <t>b32</t>
        </is>
      </c>
      <c r="B77" s="5" t="inlineStr">
        <is>
          <t>g8</t>
        </is>
      </c>
      <c r="C77" s="5" t="inlineStr">
        <is>
          <t>Taurus Judge</t>
        </is>
      </c>
      <c r="D77" s="6" t="n">
        <v>320</v>
      </c>
      <c r="E77" s="6" t="n">
        <v>400</v>
      </c>
      <c r="F77" s="7" t="n"/>
      <c r="G77" s="7" t="n"/>
      <c r="H77" s="5" t="inlineStr">
        <is>
          <t>fair</t>
        </is>
      </c>
      <c r="I77" s="5" t="inlineStr">
        <is>
          <t>2026-09-19</t>
        </is>
      </c>
      <c r="J77" s="5" t="inlineStr">
        <is>
          <t>https://gunwatcher.com/gun-value-sold-information/market-price?itemName=taurus+judge</t>
        </is>
      </c>
      <c r="K77" s="5" t="inlineStr">
        <is>
          <t>Public Defender, stainless and Magnum above basic</t>
        </is>
      </c>
    </row>
    <row r="78">
      <c r="A78" s="5" t="inlineStr">
        <is>
          <t>b33</t>
        </is>
      </c>
      <c r="B78" s="5" t="inlineStr">
        <is>
          <t>g8</t>
        </is>
      </c>
      <c r="C78" s="5" t="inlineStr">
        <is>
          <t>Colt Python (2020+)</t>
        </is>
      </c>
      <c r="D78" s="6" t="n">
        <v>950</v>
      </c>
      <c r="E78" s="6" t="n">
        <v>1200</v>
      </c>
      <c r="F78" s="7" t="n"/>
      <c r="G78" s="7" t="n"/>
      <c r="H78" s="5" t="inlineStr">
        <is>
          <t>fair</t>
        </is>
      </c>
      <c r="I78" s="5" t="inlineStr">
        <is>
          <t>2026-09-19</t>
        </is>
      </c>
      <c r="J78" s="5" t="inlineStr">
        <is>
          <t>https://www.webuyguns.com/valuations/colt/python</t>
        </is>
      </c>
      <c r="K78" s="5" t="inlineStr">
        <is>
          <t>New retail near $1,100 caps it; older Pythons far more</t>
        </is>
      </c>
    </row>
    <row r="79">
      <c r="A79" s="5" t="inlineStr">
        <is>
          <t>c1</t>
        </is>
      </c>
      <c r="B79" s="5" t="inlineStr">
        <is>
          <t>p1</t>
        </is>
      </c>
      <c r="C79" s="5" t="inlineStr">
        <is>
          <t>Stihl MS 170 / 180</t>
        </is>
      </c>
      <c r="D79" s="6" t="n">
        <v>170</v>
      </c>
      <c r="E79" s="6" t="n">
        <v>230</v>
      </c>
      <c r="F79" s="7" t="n"/>
      <c r="G79" s="7" t="n"/>
      <c r="H79" s="5" t="inlineStr">
        <is>
          <t>fair</t>
        </is>
      </c>
      <c r="I79" s="5" t="inlineStr">
        <is>
          <t>2026-09-22</t>
        </is>
      </c>
      <c r="J79" s="5" t="inlineStr">
        <is>
          <t>shelf tags photographed 19 Sep 2026, Bristol area</t>
        </is>
      </c>
      <c r="K79" s="5" t="inlineStr">
        <is>
          <t>MS 180 slightly more; easy start and good chain</t>
        </is>
      </c>
    </row>
    <row r="80">
      <c r="A80" s="5" t="inlineStr">
        <is>
          <t>c2</t>
        </is>
      </c>
      <c r="B80" s="5" t="inlineStr">
        <is>
          <t>p1</t>
        </is>
      </c>
      <c r="C80" s="5" t="inlineStr">
        <is>
          <t>Stihl MS 250</t>
        </is>
      </c>
      <c r="D80" s="6" t="n">
        <v>210</v>
      </c>
      <c r="E80" s="6" t="n">
        <v>310</v>
      </c>
      <c r="F80" s="7" t="n"/>
      <c r="G80" s="7" t="n"/>
      <c r="H80" s="5" t="inlineStr">
        <is>
          <t>fair</t>
        </is>
      </c>
      <c r="I80" s="5" t="inlineStr">
        <is>
          <t>2026-09-22</t>
        </is>
      </c>
      <c r="J80" s="5" t="inlineStr">
        <is>
          <t>https://chainsawnerds.com/ms-250-stihl-chainsaw-price-guide/</t>
        </is>
      </c>
      <c r="K80" s="5" t="inlineStr">
        <is>
          <t>Compression and bar wear</t>
        </is>
      </c>
    </row>
    <row r="81">
      <c r="A81" s="5" t="inlineStr">
        <is>
          <t>c3</t>
        </is>
      </c>
      <c r="B81" s="5" t="inlineStr">
        <is>
          <t>p1</t>
        </is>
      </c>
      <c r="C81" s="5" t="inlineStr">
        <is>
          <t>Stihl MS 271 Farm Boss</t>
        </is>
      </c>
      <c r="D81" s="6" t="n">
        <v>300</v>
      </c>
      <c r="E81" s="6" t="n">
        <v>420</v>
      </c>
      <c r="F81" s="7" t="n"/>
      <c r="G81" s="7" t="n"/>
      <c r="H81" s="5" t="inlineStr">
        <is>
          <t>fair</t>
        </is>
      </c>
      <c r="I81" s="5" t="inlineStr">
        <is>
          <t>2026-09-22</t>
        </is>
      </c>
      <c r="J81" s="5" t="inlineStr">
        <is>
          <t>https://www.tractorhouse.com/listings/for-sale/stihl/ms/chainsaws/1186</t>
        </is>
      </c>
      <c r="K81" s="5" t="inlineStr">
        <is>
          <t>20 in bar, low hours</t>
        </is>
      </c>
    </row>
    <row r="82">
      <c r="A82" s="5" t="inlineStr">
        <is>
          <t>c4</t>
        </is>
      </c>
      <c r="B82" s="5" t="inlineStr">
        <is>
          <t>p1</t>
        </is>
      </c>
      <c r="C82" s="5" t="inlineStr">
        <is>
          <t>Stihl MS 291</t>
        </is>
      </c>
      <c r="D82" s="6" t="n">
        <v>290</v>
      </c>
      <c r="E82" s="6" t="n">
        <v>410</v>
      </c>
      <c r="F82" s="7" t="n"/>
      <c r="G82" s="7" t="n"/>
      <c r="H82" s="5" t="inlineStr">
        <is>
          <t>thin</t>
        </is>
      </c>
      <c r="I82" s="5" t="inlineStr">
        <is>
          <t>2026-09-22</t>
        </is>
      </c>
      <c r="J82" s="5" t="inlineStr">
        <is>
          <t>https://www.tractorhouse.com/listings/for-sale/stihl/ms-291/chainsaws/1186</t>
        </is>
      </c>
      <c r="K82" s="5" t="inlineStr">
        <is>
          <t>Tracks the MS 271</t>
        </is>
      </c>
    </row>
    <row r="83">
      <c r="A83" s="5" t="inlineStr">
        <is>
          <t>c5</t>
        </is>
      </c>
      <c r="B83" s="5" t="inlineStr">
        <is>
          <t>p1</t>
        </is>
      </c>
      <c r="C83" s="5" t="inlineStr">
        <is>
          <t>Stihl MS 362</t>
        </is>
      </c>
      <c r="D83" s="6" t="n">
        <v>510</v>
      </c>
      <c r="E83" s="6" t="n">
        <v>720</v>
      </c>
      <c r="F83" s="7" t="n"/>
      <c r="G83" s="7" t="n"/>
      <c r="H83" s="5" t="inlineStr">
        <is>
          <t>fair</t>
        </is>
      </c>
      <c r="I83" s="5" t="inlineStr">
        <is>
          <t>2026-09-22</t>
        </is>
      </c>
      <c r="J83" s="5" t="inlineStr">
        <is>
          <t>https://opeforum.com/threads/lightly-used-stihl-ms362.32837/</t>
        </is>
      </c>
      <c r="K83" s="5" t="inlineStr">
        <is>
          <t>M-Tronic vs carb; cylinder condition</t>
        </is>
      </c>
    </row>
    <row r="84">
      <c r="A84" s="5" t="inlineStr">
        <is>
          <t>c6</t>
        </is>
      </c>
      <c r="B84" s="5" t="inlineStr">
        <is>
          <t>p1</t>
        </is>
      </c>
      <c r="C84" s="5" t="inlineStr">
        <is>
          <t>Stihl MS 461 / 462</t>
        </is>
      </c>
      <c r="D84" s="6" t="n">
        <v>780</v>
      </c>
      <c r="E84" s="6" t="n">
        <v>1020</v>
      </c>
      <c r="F84" s="7" t="n"/>
      <c r="G84" s="7" t="n"/>
      <c r="H84" s="5" t="inlineStr">
        <is>
          <t>fair</t>
        </is>
      </c>
      <c r="I84" s="5" t="inlineStr">
        <is>
          <t>2026-09-22</t>
        </is>
      </c>
      <c r="J84" s="5" t="inlineStr">
        <is>
          <t>https://opeforum.com/threads/ms462.32595/</t>
        </is>
      </c>
      <c r="K84" s="5" t="inlineStr">
        <is>
          <t>MS 462 more; piston condition</t>
        </is>
      </c>
    </row>
    <row r="85">
      <c r="A85" s="5" t="inlineStr">
        <is>
          <t>c7</t>
        </is>
      </c>
      <c r="B85" s="5" t="inlineStr">
        <is>
          <t>p1</t>
        </is>
      </c>
      <c r="C85" s="5" t="inlineStr">
        <is>
          <t>Husqvarna 450 / 445</t>
        </is>
      </c>
      <c r="D85" s="6" t="n">
        <v>210</v>
      </c>
      <c r="E85" s="6" t="n">
        <v>290</v>
      </c>
      <c r="F85" s="7" t="n"/>
      <c r="G85" s="7" t="n"/>
      <c r="H85" s="5" t="inlineStr">
        <is>
          <t>fair</t>
        </is>
      </c>
      <c r="I85" s="5" t="inlineStr">
        <is>
          <t>2026-09-22</t>
        </is>
      </c>
      <c r="J85" s="5" t="inlineStr">
        <is>
          <t>shelf tags photographed 19 Sep 2026, Bristol area</t>
        </is>
      </c>
      <c r="K85" s="5" t="inlineStr">
        <is>
          <t>450 over 445</t>
        </is>
      </c>
    </row>
    <row r="86">
      <c r="A86" s="5" t="inlineStr">
        <is>
          <t>c8</t>
        </is>
      </c>
      <c r="B86" s="5" t="inlineStr">
        <is>
          <t>p1</t>
        </is>
      </c>
      <c r="C86" s="5" t="inlineStr">
        <is>
          <t>Husqvarna 455 Rancher</t>
        </is>
      </c>
      <c r="D86" s="6" t="n">
        <v>370</v>
      </c>
      <c r="E86" s="6" t="n">
        <v>505</v>
      </c>
      <c r="F86" s="7" t="n"/>
      <c r="G86" s="7" t="n"/>
      <c r="H86" s="5" t="inlineStr">
        <is>
          <t>fair</t>
        </is>
      </c>
      <c r="I86" s="5" t="inlineStr">
        <is>
          <t>2026-09-22</t>
        </is>
      </c>
      <c r="J86" s="5" t="inlineStr">
        <is>
          <t>shelf tags photographed 19 Sep 2026, Bristol area</t>
        </is>
      </c>
      <c r="K86" s="5" t="inlineStr">
        <is>
          <t>Bar, starting and compression</t>
        </is>
      </c>
    </row>
    <row r="87">
      <c r="A87" s="5" t="inlineStr">
        <is>
          <t>c9</t>
        </is>
      </c>
      <c r="B87" s="5" t="inlineStr">
        <is>
          <t>p1</t>
        </is>
      </c>
      <c r="C87" s="5" t="inlineStr">
        <is>
          <t>Husqvarna 460 Rancher</t>
        </is>
      </c>
      <c r="D87" s="6" t="n">
        <v>300</v>
      </c>
      <c r="E87" s="6" t="n">
        <v>430</v>
      </c>
      <c r="F87" s="7" t="n"/>
      <c r="G87" s="7" t="n"/>
      <c r="H87" s="5" t="inlineStr">
        <is>
          <t>fair</t>
        </is>
      </c>
      <c r="I87" s="5" t="inlineStr">
        <is>
          <t>2026-09-22</t>
        </is>
      </c>
      <c r="J87" s="5" t="inlineStr">
        <is>
          <t>https://chainsawnerds.com/used-husqvarna-chainsaws-worth-owning/</t>
        </is>
      </c>
      <c r="K87" s="5" t="inlineStr">
        <is>
          <t>24 in bar adds</t>
        </is>
      </c>
    </row>
    <row r="88">
      <c r="A88" s="5" t="inlineStr">
        <is>
          <t>c10</t>
        </is>
      </c>
      <c r="B88" s="5" t="inlineStr">
        <is>
          <t>p1</t>
        </is>
      </c>
      <c r="C88" s="5" t="inlineStr">
        <is>
          <t>Echo CS-400 / CS-4010</t>
        </is>
      </c>
      <c r="D88" s="6" t="n">
        <v>130</v>
      </c>
      <c r="E88" s="6" t="n">
        <v>210</v>
      </c>
      <c r="F88" s="7" t="n"/>
      <c r="G88" s="7" t="n"/>
      <c r="H88" s="5" t="inlineStr">
        <is>
          <t>thin</t>
        </is>
      </c>
      <c r="I88" s="5" t="inlineStr">
        <is>
          <t>2026-09-22</t>
        </is>
      </c>
      <c r="J88" s="5" t="inlineStr"/>
      <c r="K88" s="5" t="inlineStr">
        <is>
          <t>Thin sales data; CS-4010 is newer</t>
        </is>
      </c>
    </row>
    <row r="89">
      <c r="A89" s="5" t="inlineStr">
        <is>
          <t>c11</t>
        </is>
      </c>
      <c r="B89" s="5" t="inlineStr">
        <is>
          <t>p1</t>
        </is>
      </c>
      <c r="C89" s="5" t="inlineStr">
        <is>
          <t>Echo CS-590 Timber Wolf</t>
        </is>
      </c>
      <c r="D89" s="6" t="n">
        <v>265</v>
      </c>
      <c r="E89" s="6" t="n">
        <v>385</v>
      </c>
      <c r="F89" s="7" t="n"/>
      <c r="G89" s="7" t="n"/>
      <c r="H89" s="5" t="inlineStr">
        <is>
          <t>thin</t>
        </is>
      </c>
      <c r="I89" s="5" t="inlineStr">
        <is>
          <t>2026-09-22</t>
        </is>
      </c>
      <c r="J89" s="5" t="inlineStr">
        <is>
          <t>https://www.treetrader.com/listings/for-sale/echo/cs590-timber-wolf/chainsaws-outdoor-power/1186</t>
        </is>
      </c>
      <c r="K89" s="5" t="inlineStr">
        <is>
          <t>Bar and chain included matters a lot</t>
        </is>
      </c>
    </row>
    <row r="90">
      <c r="A90" s="5" t="inlineStr">
        <is>
          <t>c12</t>
        </is>
      </c>
      <c r="B90" s="5" t="inlineStr">
        <is>
          <t>p2</t>
        </is>
      </c>
      <c r="C90" s="5" t="inlineStr">
        <is>
          <t>Stihl FS 56 / FS 91</t>
        </is>
      </c>
      <c r="D90" s="6" t="n">
        <v>110</v>
      </c>
      <c r="E90" s="6" t="n">
        <v>215</v>
      </c>
      <c r="F90" s="7" t="n"/>
      <c r="G90" s="7" t="n"/>
      <c r="H90" s="5" t="inlineStr">
        <is>
          <t>thin</t>
        </is>
      </c>
      <c r="I90" s="5" t="inlineStr">
        <is>
          <t>2026-09-22</t>
        </is>
      </c>
      <c r="J90" s="5" t="inlineStr">
        <is>
          <t>https://used.equipmentshare.com/products/stihl-fs-91-r-563012</t>
        </is>
      </c>
      <c r="K90" s="5" t="inlineStr">
        <is>
          <t>FS 91 about double the FS 56</t>
        </is>
      </c>
    </row>
    <row r="91">
      <c r="A91" s="5" t="inlineStr">
        <is>
          <t>c13</t>
        </is>
      </c>
      <c r="B91" s="5" t="inlineStr">
        <is>
          <t>p2</t>
        </is>
      </c>
      <c r="C91" s="5" t="inlineStr">
        <is>
          <t>Stihl FS 131</t>
        </is>
      </c>
      <c r="D91" s="6" t="n">
        <v>240</v>
      </c>
      <c r="E91" s="6" t="n">
        <v>360</v>
      </c>
      <c r="F91" s="7" t="n"/>
      <c r="G91" s="7" t="n"/>
      <c r="H91" s="5" t="inlineStr">
        <is>
          <t>thin</t>
        </is>
      </c>
      <c r="I91" s="5" t="inlineStr">
        <is>
          <t>2026-09-22</t>
        </is>
      </c>
      <c r="J91" s="5" t="inlineStr"/>
      <c r="K91" s="5" t="inlineStr">
        <is>
          <t>Bike-handle and blade kits add</t>
        </is>
      </c>
    </row>
    <row r="92">
      <c r="A92" s="5" t="inlineStr">
        <is>
          <t>c14</t>
        </is>
      </c>
      <c r="B92" s="5" t="inlineStr">
        <is>
          <t>p2</t>
        </is>
      </c>
      <c r="C92" s="5" t="inlineStr">
        <is>
          <t>Echo SRM-225</t>
        </is>
      </c>
      <c r="D92" s="6" t="n">
        <v>100</v>
      </c>
      <c r="E92" s="6" t="n">
        <v>170</v>
      </c>
      <c r="F92" s="7" t="n"/>
      <c r="G92" s="7" t="n"/>
      <c r="H92" s="5" t="inlineStr">
        <is>
          <t>thin</t>
        </is>
      </c>
      <c r="I92" s="5" t="inlineStr">
        <is>
          <t>2026-09-22</t>
        </is>
      </c>
      <c r="J92" s="5" t="inlineStr"/>
      <c r="K92" s="5" t="inlineStr">
        <is>
          <t>Starts easily; head and shaft condition</t>
        </is>
      </c>
    </row>
    <row r="93">
      <c r="A93" s="5" t="inlineStr">
        <is>
          <t>c15</t>
        </is>
      </c>
      <c r="B93" s="5" t="inlineStr">
        <is>
          <t>p3</t>
        </is>
      </c>
      <c r="C93" s="5" t="inlineStr">
        <is>
          <t>Stihl BR 600</t>
        </is>
      </c>
      <c r="D93" s="6" t="n">
        <v>330</v>
      </c>
      <c r="E93" s="6" t="n">
        <v>450</v>
      </c>
      <c r="F93" s="7" t="n"/>
      <c r="G93" s="7" t="n"/>
      <c r="H93" s="5" t="inlineStr">
        <is>
          <t>thin</t>
        </is>
      </c>
      <c r="I93" s="5" t="inlineStr">
        <is>
          <t>2026-09-22</t>
        </is>
      </c>
      <c r="J93" s="5" t="inlineStr">
        <is>
          <t>https://used.equipmentshare.com/search?q=stihl</t>
        </is>
      </c>
      <c r="K93" s="5" t="inlineStr">
        <is>
          <t>Commercial wear, harness and tube</t>
        </is>
      </c>
    </row>
    <row r="94">
      <c r="A94" s="5" t="inlineStr">
        <is>
          <t>c16</t>
        </is>
      </c>
      <c r="B94" s="5" t="inlineStr">
        <is>
          <t>p3</t>
        </is>
      </c>
      <c r="C94" s="5" t="inlineStr">
        <is>
          <t>Stihl BR 800</t>
        </is>
      </c>
      <c r="D94" s="6" t="n">
        <v>425</v>
      </c>
      <c r="E94" s="6" t="n">
        <v>575</v>
      </c>
      <c r="F94" s="7" t="n"/>
      <c r="G94" s="7" t="n"/>
      <c r="H94" s="5" t="inlineStr">
        <is>
          <t>fair</t>
        </is>
      </c>
      <c r="I94" s="5" t="inlineStr">
        <is>
          <t>2026-09-22</t>
        </is>
      </c>
      <c r="J94" s="5" t="inlineStr">
        <is>
          <t>shelf tags photographed 19 Sep 2026, Bristol area</t>
        </is>
      </c>
      <c r="K94" s="5" t="inlineStr">
        <is>
          <t>Hours and landscaper wear</t>
        </is>
      </c>
    </row>
    <row r="95">
      <c r="A95" s="5" t="inlineStr">
        <is>
          <t>c17</t>
        </is>
      </c>
      <c r="B95" s="5" t="inlineStr">
        <is>
          <t>p3</t>
        </is>
      </c>
      <c r="C95" s="5" t="inlineStr">
        <is>
          <t>Echo PB-580T</t>
        </is>
      </c>
      <c r="D95" s="6" t="n">
        <v>230</v>
      </c>
      <c r="E95" s="6" t="n">
        <v>330</v>
      </c>
      <c r="F95" s="7" t="n"/>
      <c r="G95" s="7" t="n"/>
      <c r="H95" s="5" t="inlineStr">
        <is>
          <t>thin</t>
        </is>
      </c>
      <c r="I95" s="5" t="inlineStr">
        <is>
          <t>2026-09-22</t>
        </is>
      </c>
      <c r="J95" s="5" t="inlineStr">
        <is>
          <t>https://opeforum.com/threads/need-backpack-blower-asap-please.26602/</t>
        </is>
      </c>
      <c r="K95" s="5" t="inlineStr">
        <is>
          <t>Lawn-crew wear lowers price</t>
        </is>
      </c>
    </row>
    <row r="96">
      <c r="A96" s="5" t="inlineStr">
        <is>
          <t>c18</t>
        </is>
      </c>
      <c r="B96" s="5" t="inlineStr">
        <is>
          <t>p3</t>
        </is>
      </c>
      <c r="C96" s="5" t="inlineStr">
        <is>
          <t>Echo PB-770T</t>
        </is>
      </c>
      <c r="D96" s="6" t="n">
        <v>330</v>
      </c>
      <c r="E96" s="6" t="n">
        <v>450</v>
      </c>
      <c r="F96" s="7" t="n"/>
      <c r="G96" s="7" t="n"/>
      <c r="H96" s="5" t="inlineStr">
        <is>
          <t>thin</t>
        </is>
      </c>
      <c r="I96" s="5" t="inlineStr">
        <is>
          <t>2026-09-22</t>
        </is>
      </c>
      <c r="J96" s="5" t="inlineStr">
        <is>
          <t>https://opeforum.com/threads/would-you-buy-a-used-echo-pb-770t.8184/</t>
        </is>
      </c>
      <c r="K96" s="5" t="inlineStr">
        <is>
          <t>Hours and carb history</t>
        </is>
      </c>
    </row>
    <row r="97">
      <c r="A97" s="5" t="inlineStr">
        <is>
          <t>c19</t>
        </is>
      </c>
      <c r="B97" s="5" t="inlineStr">
        <is>
          <t>p3</t>
        </is>
      </c>
      <c r="C97" s="5" t="inlineStr">
        <is>
          <t>Husqvarna 350BT</t>
        </is>
      </c>
      <c r="D97" s="6" t="n">
        <v>255</v>
      </c>
      <c r="E97" s="6" t="n">
        <v>345</v>
      </c>
      <c r="F97" s="7" t="n"/>
      <c r="G97" s="7" t="n"/>
      <c r="H97" s="5" t="inlineStr">
        <is>
          <t>fair</t>
        </is>
      </c>
      <c r="I97" s="5" t="inlineStr">
        <is>
          <t>2026-09-22</t>
        </is>
      </c>
      <c r="J97" s="5" t="inlineStr">
        <is>
          <t>shelf tags photographed 19 Sep 2026, Bristol area</t>
        </is>
      </c>
      <c r="K97" s="5" t="inlineStr">
        <is>
          <t>Homeowner grade; starting condition</t>
        </is>
      </c>
    </row>
    <row r="98">
      <c r="A98" s="5" t="inlineStr">
        <is>
          <t>c20</t>
        </is>
      </c>
      <c r="B98" s="5" t="inlineStr">
        <is>
          <t>p7|Inverter generator — 2kW</t>
        </is>
      </c>
      <c r="C98" s="5" t="inlineStr">
        <is>
          <t>Honda EU2200i</t>
        </is>
      </c>
      <c r="D98" s="6" t="n">
        <v>780</v>
      </c>
      <c r="E98" s="6" t="n">
        <v>1020</v>
      </c>
      <c r="F98" s="7" t="n"/>
      <c r="G98" s="7" t="n"/>
      <c r="H98" s="5" t="inlineStr">
        <is>
          <t>fair</t>
        </is>
      </c>
      <c r="I98" s="5" t="inlineStr">
        <is>
          <t>2026-09-22</t>
        </is>
      </c>
      <c r="J98" s="5" t="inlineStr">
        <is>
          <t>https://www.machinerytrader.com/listings/for-sale/honda/eu2200i/construction-equipment</t>
        </is>
      </c>
      <c r="K98" s="5" t="inlineStr">
        <is>
          <t>Hours and stale fuel</t>
        </is>
      </c>
    </row>
    <row r="99">
      <c r="A99" s="5" t="inlineStr">
        <is>
          <t>c21</t>
        </is>
      </c>
      <c r="B99" s="5" t="inlineStr">
        <is>
          <t>p7</t>
        </is>
      </c>
      <c r="C99" s="5" t="inlineStr">
        <is>
          <t>Honda EU3000iS</t>
        </is>
      </c>
      <c r="D99" s="6" t="n">
        <v>1380</v>
      </c>
      <c r="E99" s="6" t="n">
        <v>1920</v>
      </c>
      <c r="F99" s="7" t="n"/>
      <c r="G99" s="7" t="n"/>
      <c r="H99" s="5" t="inlineStr">
        <is>
          <t>fair</t>
        </is>
      </c>
      <c r="I99" s="5" t="inlineStr">
        <is>
          <t>2026-09-22</t>
        </is>
      </c>
      <c r="J99" s="5" t="inlineStr">
        <is>
          <t>https://www.machinerytrader.com/listings/for-sale/honda/eu3000is/construction-equipment</t>
        </is>
      </c>
      <c r="K99" s="5" t="inlineStr">
        <is>
          <t>Hours; electric start working</t>
        </is>
      </c>
    </row>
    <row r="100">
      <c r="A100" s="5" t="inlineStr">
        <is>
          <t>c22</t>
        </is>
      </c>
      <c r="B100" s="5" t="inlineStr">
        <is>
          <t>p4</t>
        </is>
      </c>
      <c r="C100" s="5" t="inlineStr">
        <is>
          <t>Honda HRX / HRN mower</t>
        </is>
      </c>
      <c r="D100" s="6" t="n">
        <v>270</v>
      </c>
      <c r="E100" s="6" t="n">
        <v>450</v>
      </c>
      <c r="F100" s="7" t="n"/>
      <c r="G100" s="7" t="n"/>
      <c r="H100" s="5" t="inlineStr">
        <is>
          <t>thin</t>
        </is>
      </c>
      <c r="I100" s="5" t="inlineStr">
        <is>
          <t>2026-09-22</t>
        </is>
      </c>
      <c r="J100" s="5" t="inlineStr">
        <is>
          <t>https://www.tractorhouse.com/listings/used-honda-hrx217vka-lawn-mowers-outdoor-power-for-sale/?Category=1188&amp;Manufacturer=HONDA&amp;ModelGroup=HRX217VKA&amp;Condition=USED</t>
        </is>
      </c>
      <c r="K100" s="5" t="inlineStr">
        <is>
          <t>HRX over HRN; drive working</t>
        </is>
      </c>
    </row>
    <row r="101">
      <c r="A101" s="5" t="inlineStr">
        <is>
          <t>c23</t>
        </is>
      </c>
      <c r="B101" s="5" t="inlineStr">
        <is>
          <t>p5</t>
        </is>
      </c>
      <c r="C101" s="5" t="inlineStr">
        <is>
          <t>John Deere E100–E130 / S100–S130</t>
        </is>
      </c>
      <c r="D101" s="6" t="n">
        <v>1140</v>
      </c>
      <c r="E101" s="6" t="n">
        <v>1800</v>
      </c>
      <c r="F101" s="7" t="n"/>
      <c r="G101" s="7" t="n"/>
      <c r="H101" s="5" t="inlineStr">
        <is>
          <t>fair</t>
        </is>
      </c>
      <c r="I101" s="5" t="inlineStr">
        <is>
          <t>2026-09-22</t>
        </is>
      </c>
      <c r="J101" s="5" t="inlineStr">
        <is>
          <t>https://www.tractorhouse.com/listings/for-sale/john-deere/e130/riding-lawn-mowers/1170</t>
        </is>
      </c>
      <c r="K101" s="5" t="inlineStr">
        <is>
          <t>Hours, deck rust, transmission</t>
        </is>
      </c>
    </row>
    <row r="102">
      <c r="A102" s="5" t="inlineStr">
        <is>
          <t>c24</t>
        </is>
      </c>
      <c r="B102" s="5" t="inlineStr">
        <is>
          <t>p5</t>
        </is>
      </c>
      <c r="C102" s="5" t="inlineStr">
        <is>
          <t>John Deere X350 / X380</t>
        </is>
      </c>
      <c r="D102" s="6" t="n">
        <v>2400</v>
      </c>
      <c r="E102" s="6" t="n">
        <v>3480</v>
      </c>
      <c r="F102" s="7" t="n"/>
      <c r="G102" s="7" t="n"/>
      <c r="H102" s="5" t="inlineStr">
        <is>
          <t>fair</t>
        </is>
      </c>
      <c r="I102" s="5" t="inlineStr">
        <is>
          <t>2026-09-22</t>
        </is>
      </c>
      <c r="J102" s="5" t="inlineStr">
        <is>
          <t>https://www.machinerypete.com/lawn-and-garden/lawn-mowers/john-deere/x350</t>
        </is>
      </c>
      <c r="K102" s="5" t="inlineStr">
        <is>
          <t>X380 and 48–54 in deck higher</t>
        </is>
      </c>
    </row>
    <row r="103">
      <c r="A103" s="5" t="inlineStr">
        <is>
          <t>c25</t>
        </is>
      </c>
      <c r="B103" s="5" t="inlineStr">
        <is>
          <t>Zero-turn mower</t>
        </is>
      </c>
      <c r="C103" s="5" t="inlineStr">
        <is>
          <t>Residential zero-turn, 48–54 in</t>
        </is>
      </c>
      <c r="D103" s="6" t="n">
        <v>1700</v>
      </c>
      <c r="E103" s="6" t="n">
        <v>2700</v>
      </c>
      <c r="F103" s="7" t="n"/>
      <c r="G103" s="7" t="n"/>
      <c r="H103" s="5" t="inlineStr">
        <is>
          <t>fair</t>
        </is>
      </c>
      <c r="I103" s="5" t="inlineStr">
        <is>
          <t>2026-09-19</t>
        </is>
      </c>
      <c r="J103" s="5" t="inlineStr">
        <is>
          <t>https://www.tractorhouse.com/listings/for-sale/husqvarna/z254/zero-turn-lawn-mowers/1191</t>
        </is>
      </c>
      <c r="K103" s="5" t="inlineStr">
        <is>
          <t>Deere highest; hours and deck rust</t>
        </is>
      </c>
    </row>
    <row r="104">
      <c r="A104" s="5" t="inlineStr">
        <is>
          <t>c26</t>
        </is>
      </c>
      <c r="B104" s="5" t="inlineStr">
        <is>
          <t>t1</t>
        </is>
      </c>
      <c r="C104" s="5" t="inlineStr">
        <is>
          <t>DeWalt 20V drill kit</t>
        </is>
      </c>
      <c r="D104" s="6" t="n">
        <v>65</v>
      </c>
      <c r="E104" s="6" t="n">
        <v>110</v>
      </c>
      <c r="F104" s="7" t="n"/>
      <c r="G104" s="7" t="n"/>
      <c r="H104" s="5" t="inlineStr">
        <is>
          <t>fair</t>
        </is>
      </c>
      <c r="I104" s="5" t="inlineStr">
        <is>
          <t>2026-09-19</t>
        </is>
      </c>
      <c r="J104" s="5" t="inlineStr">
        <is>
          <t>https://www.underpriced.app/blog/where-to-sell-used-power-tools</t>
        </is>
      </c>
      <c r="K104" s="5" t="inlineStr">
        <is>
          <t>Brushless DCD791 over DCD771; battery size</t>
        </is>
      </c>
    </row>
    <row r="105">
      <c r="A105" s="5" t="inlineStr">
        <is>
          <t>c27</t>
        </is>
      </c>
      <c r="B105" s="5" t="inlineStr">
        <is>
          <t>t1</t>
        </is>
      </c>
      <c r="C105" s="5" t="inlineStr">
        <is>
          <t>DeWalt 20V impact driver kit</t>
        </is>
      </c>
      <c r="D105" s="6" t="n">
        <v>75</v>
      </c>
      <c r="E105" s="6" t="n">
        <v>115</v>
      </c>
      <c r="F105" s="7" t="n"/>
      <c r="G105" s="7" t="n"/>
      <c r="H105" s="5" t="inlineStr">
        <is>
          <t>thin</t>
        </is>
      </c>
      <c r="I105" s="5" t="inlineStr">
        <is>
          <t>2026-09-19</t>
        </is>
      </c>
      <c r="J105" s="5" t="inlineStr">
        <is>
          <t>https://www.underpriced.app/blog/where-to-sell-used-power-tools</t>
        </is>
      </c>
      <c r="K105" s="5" t="inlineStr">
        <is>
          <t>2Ah vs 5Ah battery drives most of it</t>
        </is>
      </c>
    </row>
    <row r="106">
      <c r="A106" s="5" t="inlineStr">
        <is>
          <t>c28</t>
        </is>
      </c>
      <c r="B106" s="5" t="inlineStr">
        <is>
          <t>t1</t>
        </is>
      </c>
      <c r="C106" s="5" t="inlineStr">
        <is>
          <t>Milwaukee M18 Fuel drill kit</t>
        </is>
      </c>
      <c r="D106" s="6" t="n">
        <v>150</v>
      </c>
      <c r="E106" s="6" t="n">
        <v>220</v>
      </c>
      <c r="F106" s="7" t="n"/>
      <c r="G106" s="7" t="n"/>
      <c r="H106" s="5" t="inlineStr">
        <is>
          <t>fair</t>
        </is>
      </c>
      <c r="I106" s="5" t="inlineStr">
        <is>
          <t>2026-09-19</t>
        </is>
      </c>
      <c r="J106" s="5" t="inlineStr">
        <is>
          <t>https://www.underpriced.app/blog/where-to-sell-used-power-tools</t>
        </is>
      </c>
      <c r="K106" s="5" t="inlineStr">
        <is>
          <t>Hammer drill and 5Ah batteries on top</t>
        </is>
      </c>
    </row>
    <row r="107">
      <c r="A107" s="5" t="inlineStr">
        <is>
          <t>c29</t>
        </is>
      </c>
      <c r="B107" s="5" t="inlineStr">
        <is>
          <t>t1</t>
        </is>
      </c>
      <c r="C107" s="5" t="inlineStr">
        <is>
          <t>Milwaukee M18 Fuel impact driver kit</t>
        </is>
      </c>
      <c r="D107" s="6" t="n">
        <v>120</v>
      </c>
      <c r="E107" s="6" t="n">
        <v>180</v>
      </c>
      <c r="F107" s="7" t="n"/>
      <c r="G107" s="7" t="n"/>
      <c r="H107" s="5" t="inlineStr">
        <is>
          <t>fair</t>
        </is>
      </c>
      <c r="I107" s="5" t="inlineStr">
        <is>
          <t>2026-09-19</t>
        </is>
      </c>
      <c r="J107" s="5" t="inlineStr">
        <is>
          <t>https://www.underpriced.app/blog/where-to-sell-used-power-tools</t>
        </is>
      </c>
      <c r="K107" s="5" t="inlineStr">
        <is>
          <t>5Ah packs add $35–55</t>
        </is>
      </c>
    </row>
    <row r="108">
      <c r="A108" s="5" t="inlineStr">
        <is>
          <t>c30</t>
        </is>
      </c>
      <c r="B108" s="5" t="inlineStr">
        <is>
          <t>t2</t>
        </is>
      </c>
      <c r="C108" s="5" t="inlineStr">
        <is>
          <t>Milwaukee M18 Fuel 1/2 in impact wrench</t>
        </is>
      </c>
      <c r="D108" s="6" t="n">
        <v>185</v>
      </c>
      <c r="E108" s="6" t="n">
        <v>250</v>
      </c>
      <c r="F108" s="7" t="n"/>
      <c r="G108" s="7" t="n"/>
      <c r="H108" s="5" t="inlineStr">
        <is>
          <t>thin</t>
        </is>
      </c>
      <c r="I108" s="5" t="inlineStr">
        <is>
          <t>2026-09-19</t>
        </is>
      </c>
      <c r="J108" s="5" t="inlineStr">
        <is>
          <t>https://www.underpriced.app/blog/where-to-sell-used-power-tools</t>
        </is>
      </c>
      <c r="K108" s="5" t="inlineStr">
        <is>
          <t>Bare tool $150–190 plus a 5Ah pack</t>
        </is>
      </c>
    </row>
    <row r="109">
      <c r="A109" s="5" t="inlineStr">
        <is>
          <t>c31</t>
        </is>
      </c>
      <c r="B109" s="5" t="inlineStr">
        <is>
          <t>t1</t>
        </is>
      </c>
      <c r="C109" s="5" t="inlineStr">
        <is>
          <t>Makita 18V LXT drill kit</t>
        </is>
      </c>
      <c r="D109" s="6" t="n">
        <v>60</v>
      </c>
      <c r="E109" s="6" t="n">
        <v>100</v>
      </c>
      <c r="F109" s="7" t="n"/>
      <c r="G109" s="7" t="n"/>
      <c r="H109" s="5" t="inlineStr">
        <is>
          <t>thin</t>
        </is>
      </c>
      <c r="I109" s="5" t="inlineStr">
        <is>
          <t>2026-09-19</t>
        </is>
      </c>
      <c r="J109" s="5" t="inlineStr">
        <is>
          <t>https://www.underpriced.app/blog/where-to-sell-used-power-tools</t>
        </is>
      </c>
      <c r="K109" s="5" t="inlineStr">
        <is>
          <t>Brushless and battery size</t>
        </is>
      </c>
    </row>
    <row r="110">
      <c r="A110" s="5" t="inlineStr">
        <is>
          <t>c32</t>
        </is>
      </c>
      <c r="B110" s="5" t="inlineStr">
        <is>
          <t>t1</t>
        </is>
      </c>
      <c r="C110" s="5" t="inlineStr">
        <is>
          <t>Ryobi ONE+ drill kit</t>
        </is>
      </c>
      <c r="D110" s="6" t="n">
        <v>30</v>
      </c>
      <c r="E110" s="6" t="n">
        <v>55</v>
      </c>
      <c r="F110" s="7" t="n"/>
      <c r="G110" s="7" t="n"/>
      <c r="H110" s="5" t="inlineStr">
        <is>
          <t>fair</t>
        </is>
      </c>
      <c r="I110" s="5" t="inlineStr">
        <is>
          <t>2026-09-19</t>
        </is>
      </c>
      <c r="J110" s="5" t="inlineStr">
        <is>
          <t>https://lambertpawn.com/the-power-tool-brands-that-hold-their-value-best-and-why-pawn-shops-love-them/</t>
        </is>
      </c>
      <c r="K110" s="5" t="inlineStr">
        <is>
          <t>Low resale; brushless lifts it</t>
        </is>
      </c>
    </row>
    <row r="111">
      <c r="A111" s="5" t="inlineStr">
        <is>
          <t>d1</t>
        </is>
      </c>
      <c r="B111" s="5" t="inlineStr">
        <is>
          <t>h1</t>
        </is>
      </c>
      <c r="C111" s="5" t="inlineStr">
        <is>
          <t>Leupold VX-3HD</t>
        </is>
      </c>
      <c r="D111" s="6" t="n">
        <v>300</v>
      </c>
      <c r="E111" s="6" t="n">
        <v>390</v>
      </c>
      <c r="F111" s="7" t="n"/>
      <c r="G111" s="7" t="n"/>
      <c r="H111" s="5" t="inlineStr">
        <is>
          <t>fair</t>
        </is>
      </c>
      <c r="I111" s="5" t="inlineStr">
        <is>
          <t>2026-09-19</t>
        </is>
      </c>
      <c r="J111" s="5" t="inlineStr">
        <is>
          <t>https://www.hunttalk.com/threads/sold-leupold-vx-3hd-3-5-10x40-cds-zl-scope.331969/</t>
        </is>
      </c>
      <c r="K111" s="5" t="inlineStr">
        <is>
          <t>CDS dial and box bring the top end</t>
        </is>
      </c>
    </row>
    <row r="112">
      <c r="A112" s="5" t="inlineStr">
        <is>
          <t>d2</t>
        </is>
      </c>
      <c r="B112" s="5" t="inlineStr">
        <is>
          <t>h1</t>
        </is>
      </c>
      <c r="C112" s="5" t="inlineStr">
        <is>
          <t>Leupold VX-Freedom</t>
        </is>
      </c>
      <c r="D112" s="6" t="n">
        <v>155</v>
      </c>
      <c r="E112" s="6" t="n">
        <v>220</v>
      </c>
      <c r="F112" s="7" t="n"/>
      <c r="G112" s="7" t="n"/>
      <c r="H112" s="5" t="inlineStr">
        <is>
          <t>fair</t>
        </is>
      </c>
      <c r="I112" s="5" t="inlineStr">
        <is>
          <t>2026-09-19</t>
        </is>
      </c>
      <c r="J112" s="5" t="inlineStr">
        <is>
          <t>https://www.hunttalk.com/threads/leupold-vx-freedom-3-9x40-matte-duplex.326600/</t>
        </is>
      </c>
      <c r="K112" s="5" t="inlineStr">
        <is>
          <t>CDS version up to about $275</t>
        </is>
      </c>
    </row>
    <row r="113">
      <c r="A113" s="5" t="inlineStr">
        <is>
          <t>d3</t>
        </is>
      </c>
      <c r="B113" s="5" t="inlineStr">
        <is>
          <t>h1</t>
        </is>
      </c>
      <c r="C113" s="5" t="inlineStr">
        <is>
          <t>Vortex Crossfire II</t>
        </is>
      </c>
      <c r="D113" s="6" t="n">
        <v>65</v>
      </c>
      <c r="E113" s="6" t="n">
        <v>100</v>
      </c>
      <c r="F113" s="7" t="n"/>
      <c r="G113" s="7" t="n"/>
      <c r="H113" s="5" t="inlineStr">
        <is>
          <t>fair</t>
        </is>
      </c>
      <c r="I113" s="5" t="inlineStr">
        <is>
          <t>2026-09-19</t>
        </is>
      </c>
      <c r="J113" s="5" t="inlineStr">
        <is>
          <t>https://rokslide.com/forums/threads/vortex-crossfire-ii-3-9x40.363828/</t>
        </is>
      </c>
      <c r="K113" s="5" t="inlineStr">
        <is>
          <t>New on sale near $130 caps it</t>
        </is>
      </c>
    </row>
    <row r="114">
      <c r="A114" s="5" t="inlineStr">
        <is>
          <t>d4</t>
        </is>
      </c>
      <c r="B114" s="5" t="inlineStr">
        <is>
          <t>h1</t>
        </is>
      </c>
      <c r="C114" s="5" t="inlineStr">
        <is>
          <t>Vortex Diamondback scope</t>
        </is>
      </c>
      <c r="D114" s="6" t="n">
        <v>100</v>
      </c>
      <c r="E114" s="6" t="n">
        <v>150</v>
      </c>
      <c r="F114" s="7" t="n"/>
      <c r="G114" s="7" t="n"/>
      <c r="H114" s="5" t="inlineStr">
        <is>
          <t>fair</t>
        </is>
      </c>
      <c r="I114" s="5" t="inlineStr">
        <is>
          <t>2026-09-19</t>
        </is>
      </c>
      <c r="J114" s="5" t="inlineStr">
        <is>
          <t>https://www.hunttalk.com/threads/vortex-diamondback-4-12x40.322162/</t>
        </is>
      </c>
      <c r="K114" s="5" t="inlineStr">
        <is>
          <t>Tactical version a bit more</t>
        </is>
      </c>
    </row>
    <row r="115">
      <c r="A115" s="5" t="inlineStr">
        <is>
          <t>d5</t>
        </is>
      </c>
      <c r="B115" s="5" t="inlineStr">
        <is>
          <t>h1</t>
        </is>
      </c>
      <c r="C115" s="5" t="inlineStr">
        <is>
          <t>Vortex Viper PST Gen II</t>
        </is>
      </c>
      <c r="D115" s="6" t="n">
        <v>550</v>
      </c>
      <c r="E115" s="6" t="n">
        <v>750</v>
      </c>
      <c r="F115" s="7" t="n"/>
      <c r="G115" s="7" t="n"/>
      <c r="H115" s="5" t="inlineStr">
        <is>
          <t>fair</t>
        </is>
      </c>
      <c r="I115" s="5" t="inlineStr">
        <is>
          <t>2026-09-19</t>
        </is>
      </c>
      <c r="J115" s="5" t="inlineStr">
        <is>
          <t>https://rokslide.com/forums/threads/vortex-viper-pst-gen-ii-5x25x50-550.355234/</t>
        </is>
      </c>
      <c r="K115" s="5" t="inlineStr">
        <is>
          <t>FFP and like-new with box higher</t>
        </is>
      </c>
    </row>
    <row r="116">
      <c r="A116" s="5" t="inlineStr">
        <is>
          <t>d6</t>
        </is>
      </c>
      <c r="B116" s="5" t="inlineStr">
        <is>
          <t>h3</t>
        </is>
      </c>
      <c r="C116" s="5" t="inlineStr">
        <is>
          <t>Vortex Ranger 1800</t>
        </is>
      </c>
      <c r="D116" s="6" t="n">
        <v>110</v>
      </c>
      <c r="E116" s="6" t="n">
        <v>150</v>
      </c>
      <c r="F116" s="7" t="n"/>
      <c r="G116" s="7" t="n"/>
      <c r="H116" s="5" t="inlineStr">
        <is>
          <t>fair</t>
        </is>
      </c>
      <c r="I116" s="5" t="inlineStr">
        <is>
          <t>2026-09-19</t>
        </is>
      </c>
      <c r="J116" s="5" t="inlineStr">
        <is>
          <t>https://www.hunttalk.com/threads/sold-vortex-ranger-1800-range-finder-125-tyd.327366/</t>
        </is>
      </c>
      <c r="K116" s="5" t="inlineStr">
        <is>
          <t>Box and case help</t>
        </is>
      </c>
    </row>
    <row r="117">
      <c r="A117" s="5" t="inlineStr">
        <is>
          <t>d7</t>
        </is>
      </c>
      <c r="B117" s="5" t="inlineStr">
        <is>
          <t>h2</t>
        </is>
      </c>
      <c r="C117" s="5" t="inlineStr">
        <is>
          <t>Vortex Diamondback HD 10x42</t>
        </is>
      </c>
      <c r="D117" s="6" t="n">
        <v>110</v>
      </c>
      <c r="E117" s="6" t="n">
        <v>160</v>
      </c>
      <c r="F117" s="7" t="n"/>
      <c r="G117" s="7" t="n"/>
      <c r="H117" s="5" t="inlineStr">
        <is>
          <t>fair</t>
        </is>
      </c>
      <c r="I117" s="5" t="inlineStr">
        <is>
          <t>2026-09-19</t>
        </is>
      </c>
      <c r="J117" s="5" t="inlineStr">
        <is>
          <t>https://rokslide.com/forums/threads/150-diamondback-hd-10x42.308408/</t>
        </is>
      </c>
      <c r="K117" s="5" t="inlineStr">
        <is>
          <t>New sale prices hold used down</t>
        </is>
      </c>
    </row>
    <row r="118">
      <c r="A118" s="5" t="inlineStr">
        <is>
          <t>d8</t>
        </is>
      </c>
      <c r="B118" s="5" t="inlineStr">
        <is>
          <t>h8</t>
        </is>
      </c>
      <c r="C118" s="5" t="inlineStr">
        <is>
          <t>Minn Kota Terrova</t>
        </is>
      </c>
      <c r="D118" s="6" t="n">
        <v>850</v>
      </c>
      <c r="E118" s="6" t="n">
        <v>1350</v>
      </c>
      <c r="F118" s="7" t="n"/>
      <c r="G118" s="7" t="n"/>
      <c r="H118" s="5" t="inlineStr">
        <is>
          <t>thin</t>
        </is>
      </c>
      <c r="I118" s="5" t="inlineStr">
        <is>
          <t>2026-09-19</t>
        </is>
      </c>
      <c r="J118" s="5" t="inlineStr">
        <is>
          <t>https://www.in-depthoutdoors.com/community/forums/topic/whats-my-terrova-worth/</t>
        </is>
      </c>
      <c r="K118" s="5" t="inlineStr">
        <is>
          <t>i-Pilot Link, shaft length and year</t>
        </is>
      </c>
    </row>
    <row r="119">
      <c r="A119" s="5" t="inlineStr">
        <is>
          <t>d9</t>
        </is>
      </c>
      <c r="B119" s="5" t="inlineStr">
        <is>
          <t>h8</t>
        </is>
      </c>
      <c r="C119" s="5" t="inlineStr">
        <is>
          <t>Minn Kota Endura</t>
        </is>
      </c>
      <c r="D119" s="6" t="n">
        <v>80</v>
      </c>
      <c r="E119" s="6" t="n">
        <v>150</v>
      </c>
      <c r="F119" s="7" t="n"/>
      <c r="G119" s="7" t="n"/>
      <c r="H119" s="5" t="inlineStr">
        <is>
          <t>thin</t>
        </is>
      </c>
      <c r="I119" s="5" t="inlineStr">
        <is>
          <t>2026-09-19</t>
        </is>
      </c>
      <c r="J119" s="5" t="inlineStr"/>
      <c r="K119" s="5" t="inlineStr">
        <is>
          <t>30 lb near low end, 55 lb near high</t>
        </is>
      </c>
    </row>
    <row r="120">
      <c r="A120" s="5" t="inlineStr">
        <is>
          <t>d10</t>
        </is>
      </c>
      <c r="B120" s="5" t="inlineStr">
        <is>
          <t>h4|Cellular game camera</t>
        </is>
      </c>
      <c r="C120" s="5" t="inlineStr">
        <is>
          <t>Tactacam Reveal X</t>
        </is>
      </c>
      <c r="D120" s="6" t="n">
        <v>50</v>
      </c>
      <c r="E120" s="6" t="n">
        <v>75</v>
      </c>
      <c r="F120" s="7" t="n"/>
      <c r="G120" s="7" t="n"/>
      <c r="H120" s="5" t="inlineStr">
        <is>
          <t>thin</t>
        </is>
      </c>
      <c r="I120" s="5" t="inlineStr">
        <is>
          <t>2026-09-19</t>
        </is>
      </c>
      <c r="J120" s="5" t="inlineStr">
        <is>
          <t>https://www.trailcampro.com/products/used-tactacam-reveal-x-gen-2</t>
        </is>
      </c>
      <c r="K120" s="5" t="inlineStr">
        <is>
          <t>Needs a working plan</t>
        </is>
      </c>
    </row>
    <row r="121">
      <c r="A121" s="5" t="inlineStr">
        <is>
          <t>d11</t>
        </is>
      </c>
      <c r="B121" s="5" t="inlineStr">
        <is>
          <t>h5</t>
        </is>
      </c>
      <c r="C121" s="5" t="inlineStr">
        <is>
          <t>Mathews V3X</t>
        </is>
      </c>
      <c r="D121" s="6" t="n">
        <v>550</v>
      </c>
      <c r="E121" s="6" t="n">
        <v>750</v>
      </c>
      <c r="F121" s="7" t="n"/>
      <c r="G121" s="7" t="n"/>
      <c r="H121" s="5" t="inlineStr">
        <is>
          <t>fair</t>
        </is>
      </c>
      <c r="I121" s="5" t="inlineStr">
        <is>
          <t>2026-09-19</t>
        </is>
      </c>
      <c r="J121" s="5" t="inlineStr">
        <is>
          <t>https://www.podiumarcher.com/collections/used-v3x-33</t>
        </is>
      </c>
      <c r="K121" s="5" t="inlineStr">
        <is>
          <t>Draw weight and length; lefty lower</t>
        </is>
      </c>
    </row>
    <row r="122">
      <c r="A122" s="5" t="inlineStr">
        <is>
          <t>d12</t>
        </is>
      </c>
      <c r="B122" s="5" t="inlineStr">
        <is>
          <t>h5</t>
        </is>
      </c>
      <c r="C122" s="5" t="inlineStr">
        <is>
          <t>Hoyt RX-7</t>
        </is>
      </c>
      <c r="D122" s="6" t="n">
        <v>750</v>
      </c>
      <c r="E122" s="6" t="n">
        <v>1000</v>
      </c>
      <c r="F122" s="7" t="n"/>
      <c r="G122" s="7" t="n"/>
      <c r="H122" s="5" t="inlineStr">
        <is>
          <t>thin</t>
        </is>
      </c>
      <c r="I122" s="5" t="inlineStr">
        <is>
          <t>2026-09-19</t>
        </is>
      </c>
      <c r="J122" s="5" t="inlineStr">
        <is>
          <t>https://www.podiumarcher.com/collections/used-bows/hoyt</t>
        </is>
      </c>
      <c r="K122" s="5" t="inlineStr">
        <is>
          <t>Ultra vs standard; string condition</t>
        </is>
      </c>
    </row>
    <row r="123">
      <c r="A123" s="5" t="inlineStr">
        <is>
          <t>d13</t>
        </is>
      </c>
      <c r="B123" s="5" t="inlineStr">
        <is>
          <t>h6</t>
        </is>
      </c>
      <c r="C123" s="5" t="inlineStr">
        <is>
          <t>Ravin R10 / R26</t>
        </is>
      </c>
      <c r="D123" s="6" t="n">
        <v>600</v>
      </c>
      <c r="E123" s="6" t="n">
        <v>950</v>
      </c>
      <c r="F123" s="7" t="n"/>
      <c r="G123" s="7" t="n"/>
      <c r="H123" s="5" t="inlineStr">
        <is>
          <t>thin</t>
        </is>
      </c>
      <c r="I123" s="5" t="inlineStr">
        <is>
          <t>2026-09-19</t>
        </is>
      </c>
      <c r="J123" s="5" t="inlineStr">
        <is>
          <t>https://ravincrossbows.com/crossbows/crossbow-series/reconditioned</t>
        </is>
      </c>
      <c r="K123" s="5" t="inlineStr">
        <is>
          <t>R26 over R10</t>
        </is>
      </c>
    </row>
    <row r="124">
      <c r="A124" s="5" t="inlineStr">
        <is>
          <t>d14</t>
        </is>
      </c>
      <c r="B124" s="5" t="inlineStr">
        <is>
          <t>h6</t>
        </is>
      </c>
      <c r="C124" s="5" t="inlineStr">
        <is>
          <t>TenPoint crossbow</t>
        </is>
      </c>
      <c r="D124" s="6" t="n">
        <v>450</v>
      </c>
      <c r="E124" s="6" t="n">
        <v>750</v>
      </c>
      <c r="F124" s="7" t="n"/>
      <c r="G124" s="7" t="n"/>
      <c r="H124" s="5" t="inlineStr">
        <is>
          <t>thin</t>
        </is>
      </c>
      <c r="I124" s="5" t="inlineStr">
        <is>
          <t>2026-09-19</t>
        </is>
      </c>
      <c r="J124" s="5" t="inlineStr">
        <is>
          <t>https://www.tenpointcrossbows.com/product-category/certified-pre-owned-crossbows/</t>
        </is>
      </c>
      <c r="K124" s="5" t="inlineStr">
        <is>
          <t>Titan low, Viper S400 high; ACUdraw adds</t>
        </is>
      </c>
    </row>
    <row r="125">
      <c r="A125" s="5" t="inlineStr">
        <is>
          <t>d15</t>
        </is>
      </c>
      <c r="B125" s="5" t="inlineStr">
        <is>
          <t>Fish finder</t>
        </is>
      </c>
      <c r="C125" s="5" t="inlineStr">
        <is>
          <t>Garmin Striker Vivid</t>
        </is>
      </c>
      <c r="D125" s="6" t="n">
        <v>170</v>
      </c>
      <c r="E125" s="6" t="n">
        <v>290</v>
      </c>
      <c r="F125" s="7" t="n"/>
      <c r="G125" s="7" t="n"/>
      <c r="H125" s="5" t="inlineStr">
        <is>
          <t>thin</t>
        </is>
      </c>
      <c r="I125" s="5" t="inlineStr">
        <is>
          <t>2026-09-19</t>
        </is>
      </c>
      <c r="J125" s="5" t="inlineStr"/>
      <c r="K125" s="5" t="inlineStr">
        <is>
          <t>7cv over 5cv; must include transducer</t>
        </is>
      </c>
    </row>
    <row r="126">
      <c r="A126" s="5" t="inlineStr">
        <is>
          <t>d16</t>
        </is>
      </c>
      <c r="B126" s="5" t="inlineStr">
        <is>
          <t>Fish finder</t>
        </is>
      </c>
      <c r="C126" s="5" t="inlineStr">
        <is>
          <t>Humminbird Helix 7</t>
        </is>
      </c>
      <c r="D126" s="6" t="n">
        <v>300</v>
      </c>
      <c r="E126" s="6" t="n">
        <v>550</v>
      </c>
      <c r="F126" s="7" t="n"/>
      <c r="G126" s="7" t="n"/>
      <c r="H126" s="5" t="inlineStr">
        <is>
          <t>thin</t>
        </is>
      </c>
      <c r="I126" s="5" t="inlineStr">
        <is>
          <t>2026-09-19</t>
        </is>
      </c>
      <c r="J126" s="5" t="inlineStr"/>
      <c r="K126" s="5" t="inlineStr">
        <is>
          <t>Generation and Mega SI imaging</t>
        </is>
      </c>
    </row>
    <row r="127">
      <c r="A127" s="5" t="inlineStr">
        <is>
          <t>d17</t>
        </is>
      </c>
      <c r="B127" s="5" t="inlineStr">
        <is>
          <t>m2</t>
        </is>
      </c>
      <c r="C127" s="5" t="inlineStr">
        <is>
          <t>Fender Player Stratocaster</t>
        </is>
      </c>
      <c r="D127" s="6" t="n">
        <v>480</v>
      </c>
      <c r="E127" s="6" t="n">
        <v>620</v>
      </c>
      <c r="F127" s="7" t="n"/>
      <c r="G127" s="7" t="n"/>
      <c r="H127" s="5" t="inlineStr">
        <is>
          <t>good</t>
        </is>
      </c>
      <c r="I127" s="5" t="inlineStr">
        <is>
          <t>2026-09-19</t>
        </is>
      </c>
      <c r="J127" s="5" t="inlineStr">
        <is>
          <t>https://axedb.com/fender/stratocaster/player</t>
        </is>
      </c>
      <c r="K127" s="5" t="inlineStr">
        <is>
          <t>Player II launch pushed prices down</t>
        </is>
      </c>
    </row>
    <row r="128">
      <c r="A128" s="5" t="inlineStr">
        <is>
          <t>d18a</t>
        </is>
      </c>
      <c r="B128" s="5" t="inlineStr">
        <is>
          <t>m2</t>
        </is>
      </c>
      <c r="C128" s="5" t="inlineStr">
        <is>
          <t>Squier Affinity Stratocaster</t>
        </is>
      </c>
      <c r="D128" s="6" t="n">
        <v>150</v>
      </c>
      <c r="E128" s="6" t="n">
        <v>200</v>
      </c>
      <c r="F128" s="7" t="n"/>
      <c r="G128" s="7" t="n"/>
      <c r="H128" s="5" t="inlineStr">
        <is>
          <t>fair</t>
        </is>
      </c>
      <c r="I128" s="5" t="inlineStr">
        <is>
          <t>2026-09-19</t>
        </is>
      </c>
      <c r="J128" s="5" t="inlineStr">
        <is>
          <t>https://axedb.com/squier/affinity-series-stratocaster-with-maple-fretboard</t>
        </is>
      </c>
      <c r="K128" s="5" t="inlineStr">
        <is>
          <t>Pack amps add little</t>
        </is>
      </c>
    </row>
    <row r="129">
      <c r="A129" s="5" t="inlineStr">
        <is>
          <t>d18b</t>
        </is>
      </c>
      <c r="B129" s="5" t="inlineStr">
        <is>
          <t>m2</t>
        </is>
      </c>
      <c r="C129" s="5" t="inlineStr">
        <is>
          <t>Squier Classic Vibe Stratocaster</t>
        </is>
      </c>
      <c r="D129" s="6" t="n">
        <v>290</v>
      </c>
      <c r="E129" s="6" t="n">
        <v>370</v>
      </c>
      <c r="F129" s="7" t="n"/>
      <c r="G129" s="7" t="n"/>
      <c r="H129" s="5" t="inlineStr">
        <is>
          <t>fair</t>
        </is>
      </c>
      <c r="I129" s="5" t="inlineStr">
        <is>
          <t>2026-09-19</t>
        </is>
      </c>
      <c r="J129" s="5" t="inlineStr">
        <is>
          <t>https://axedb.com/brand/squier</t>
        </is>
      </c>
      <c r="K129" s="5" t="inlineStr">
        <is>
          <t>About double an Affinity</t>
        </is>
      </c>
    </row>
    <row r="130">
      <c r="A130" s="5" t="inlineStr">
        <is>
          <t>d19</t>
        </is>
      </c>
      <c r="B130" s="5" t="inlineStr">
        <is>
          <t>m2</t>
        </is>
      </c>
      <c r="C130" s="5" t="inlineStr">
        <is>
          <t>Gibson Les Paul Standard</t>
        </is>
      </c>
      <c r="D130" s="6" t="n">
        <v>1750</v>
      </c>
      <c r="E130" s="6" t="n">
        <v>2100</v>
      </c>
      <c r="F130" s="7" t="n"/>
      <c r="G130" s="7" t="n"/>
      <c r="H130" s="5" t="inlineStr">
        <is>
          <t>good</t>
        </is>
      </c>
      <c r="I130" s="5" t="inlineStr">
        <is>
          <t>2026-09-19</t>
        </is>
      </c>
      <c r="J130" s="5" t="inlineStr">
        <is>
          <t>https://axedb.com/gibson/les-paul/standard-50s</t>
        </is>
      </c>
      <c r="K130" s="5" t="inlineStr">
        <is>
          <t>Case, finish and top figure</t>
        </is>
      </c>
    </row>
    <row r="131">
      <c r="A131" s="5" t="inlineStr">
        <is>
          <t>d20</t>
        </is>
      </c>
      <c r="B131" s="5" t="inlineStr">
        <is>
          <t>m2</t>
        </is>
      </c>
      <c r="C131" s="5" t="inlineStr">
        <is>
          <t>Epiphone Les Paul Standard</t>
        </is>
      </c>
      <c r="D131" s="6" t="n">
        <v>320</v>
      </c>
      <c r="E131" s="6" t="n">
        <v>500</v>
      </c>
      <c r="F131" s="7" t="n"/>
      <c r="G131" s="7" t="n"/>
      <c r="H131" s="5" t="inlineStr">
        <is>
          <t>fair</t>
        </is>
      </c>
      <c r="I131" s="5" t="inlineStr">
        <is>
          <t>2026-09-19</t>
        </is>
      </c>
      <c r="J131" s="5" t="inlineStr">
        <is>
          <t>https://axedb.com/epiphone/les-paul/standard</t>
        </is>
      </c>
      <c r="K131" s="5" t="inlineStr">
        <is>
          <t>2020+ models sell higher</t>
        </is>
      </c>
    </row>
    <row r="132">
      <c r="A132" s="5" t="inlineStr">
        <is>
          <t>d21</t>
        </is>
      </c>
      <c r="B132" s="5" t="inlineStr">
        <is>
          <t>m1</t>
        </is>
      </c>
      <c r="C132" s="5" t="inlineStr">
        <is>
          <t>Martin D-28</t>
        </is>
      </c>
      <c r="D132" s="6" t="n">
        <v>2300</v>
      </c>
      <c r="E132" s="6" t="n">
        <v>2900</v>
      </c>
      <c r="F132" s="7" t="n"/>
      <c r="G132" s="7" t="n"/>
      <c r="H132" s="5" t="inlineStr">
        <is>
          <t>fair</t>
        </is>
      </c>
      <c r="I132" s="5" t="inlineStr">
        <is>
          <t>2026-09-19</t>
        </is>
      </c>
      <c r="J132" s="5" t="inlineStr">
        <is>
          <t>https://axedb.com/martin/d-28/standard</t>
        </is>
      </c>
      <c r="K132" s="5" t="inlineStr">
        <is>
          <t>Original case, no cracks or neck reset</t>
        </is>
      </c>
    </row>
    <row r="133">
      <c r="A133" s="5" t="inlineStr">
        <is>
          <t>d22a</t>
        </is>
      </c>
      <c r="B133" s="5" t="inlineStr">
        <is>
          <t>m1</t>
        </is>
      </c>
      <c r="C133" s="5" t="inlineStr">
        <is>
          <t>Taylor 114ce</t>
        </is>
      </c>
      <c r="D133" s="6" t="n">
        <v>550</v>
      </c>
      <c r="E133" s="6" t="n">
        <v>700</v>
      </c>
      <c r="F133" s="7" t="n"/>
      <c r="G133" s="7" t="n"/>
      <c r="H133" s="5" t="inlineStr">
        <is>
          <t>fair</t>
        </is>
      </c>
      <c r="I133" s="5" t="inlineStr">
        <is>
          <t>2026-09-19</t>
        </is>
      </c>
      <c r="J133" s="5" t="inlineStr">
        <is>
          <t>https://axedb.com/brand/taylor</t>
        </is>
      </c>
      <c r="K133" s="5" t="inlineStr">
        <is>
          <t>Case helps</t>
        </is>
      </c>
    </row>
    <row r="134">
      <c r="A134" s="5" t="inlineStr">
        <is>
          <t>d22b</t>
        </is>
      </c>
      <c r="B134" s="5" t="inlineStr">
        <is>
          <t>m1</t>
        </is>
      </c>
      <c r="C134" s="5" t="inlineStr">
        <is>
          <t>Taylor 214ce</t>
        </is>
      </c>
      <c r="D134" s="6" t="n">
        <v>800</v>
      </c>
      <c r="E134" s="6" t="n">
        <v>1050</v>
      </c>
      <c r="F134" s="7" t="n"/>
      <c r="G134" s="7" t="n"/>
      <c r="H134" s="5" t="inlineStr">
        <is>
          <t>fair</t>
        </is>
      </c>
      <c r="I134" s="5" t="inlineStr">
        <is>
          <t>2026-09-19</t>
        </is>
      </c>
      <c r="J134" s="5" t="inlineStr">
        <is>
          <t>https://treblemakers.shop/instruments/taylor-214ce</t>
        </is>
      </c>
      <c r="K134" s="5" t="inlineStr">
        <is>
          <t>Case helps</t>
        </is>
      </c>
    </row>
    <row r="135">
      <c r="A135" s="5" t="inlineStr">
        <is>
          <t>d23</t>
        </is>
      </c>
      <c r="B135" s="5" t="inlineStr">
        <is>
          <t>m3</t>
        </is>
      </c>
      <c r="C135" s="5" t="inlineStr">
        <is>
          <t>Fender Blues Junior</t>
        </is>
      </c>
      <c r="D135" s="6" t="n">
        <v>450</v>
      </c>
      <c r="E135" s="6" t="n">
        <v>560</v>
      </c>
      <c r="F135" s="7" t="n"/>
      <c r="G135" s="7" t="n"/>
      <c r="H135" s="5" t="inlineStr">
        <is>
          <t>fair</t>
        </is>
      </c>
      <c r="I135" s="5" t="inlineStr">
        <is>
          <t>2026-09-19</t>
        </is>
      </c>
      <c r="J135" s="5" t="inlineStr">
        <is>
          <t>https://reverb.com/p/fender-blues-junior-iv-15-watt-1x12-guitar-combo</t>
        </is>
      </c>
      <c r="K135" s="5" t="inlineStr">
        <is>
          <t>Special editions higher</t>
        </is>
      </c>
    </row>
    <row r="136">
      <c r="A136" s="5" t="inlineStr">
        <is>
          <t>e1</t>
        </is>
      </c>
      <c r="B136" s="5" t="inlineStr">
        <is>
          <t>e4</t>
        </is>
      </c>
      <c r="C136" s="5" t="inlineStr">
        <is>
          <t>iPhone 13</t>
        </is>
      </c>
      <c r="D136" s="6" t="n">
        <v>215</v>
      </c>
      <c r="E136" s="6" t="n">
        <v>275</v>
      </c>
      <c r="F136" s="7" t="n"/>
      <c r="G136" s="7" t="n"/>
      <c r="H136" s="5" t="inlineStr">
        <is>
          <t>good</t>
        </is>
      </c>
      <c r="I136" s="5" t="inlineStr">
        <is>
          <t>2026-09-19</t>
        </is>
      </c>
      <c r="J136" s="5" t="inlineStr">
        <is>
          <t>https://swappa.com/prices/apple-iphone-13</t>
        </is>
      </c>
      <c r="K136" s="5" t="inlineStr">
        <is>
          <t>Battery health and carrier lock</t>
        </is>
      </c>
    </row>
    <row r="137">
      <c r="A137" s="5" t="inlineStr">
        <is>
          <t>e2</t>
        </is>
      </c>
      <c r="B137" s="5" t="inlineStr">
        <is>
          <t>e4</t>
        </is>
      </c>
      <c r="C137" s="5" t="inlineStr">
        <is>
          <t>iPhone 14</t>
        </is>
      </c>
      <c r="D137" s="6" t="n">
        <v>255</v>
      </c>
      <c r="E137" s="6" t="n">
        <v>330</v>
      </c>
      <c r="F137" s="7" t="n"/>
      <c r="G137" s="7" t="n"/>
      <c r="H137" s="5" t="inlineStr">
        <is>
          <t>good</t>
        </is>
      </c>
      <c r="I137" s="5" t="inlineStr">
        <is>
          <t>2026-09-19</t>
        </is>
      </c>
      <c r="J137" s="5" t="inlineStr">
        <is>
          <t>https://swappa.com/prices/apple-iphone-14</t>
        </is>
      </c>
      <c r="K137" s="5" t="inlineStr">
        <is>
          <t>Battery health; unlocked adds about $20</t>
        </is>
      </c>
    </row>
    <row r="138">
      <c r="A138" s="5" t="inlineStr">
        <is>
          <t>e3</t>
        </is>
      </c>
      <c r="B138" s="5" t="inlineStr">
        <is>
          <t>e4</t>
        </is>
      </c>
      <c r="C138" s="5" t="inlineStr">
        <is>
          <t>iPhone 15</t>
        </is>
      </c>
      <c r="D138" s="6" t="n">
        <v>350</v>
      </c>
      <c r="E138" s="6" t="n">
        <v>430</v>
      </c>
      <c r="F138" s="7" t="n"/>
      <c r="G138" s="7" t="n"/>
      <c r="H138" s="5" t="inlineStr">
        <is>
          <t>good</t>
        </is>
      </c>
      <c r="I138" s="5" t="inlineStr">
        <is>
          <t>2026-09-19</t>
        </is>
      </c>
      <c r="J138" s="5" t="inlineStr">
        <is>
          <t>https://swappa.com/prices/apple-iphone-15</t>
        </is>
      </c>
      <c r="K138" s="5" t="inlineStr">
        <is>
          <t>Unlocked and battery health</t>
        </is>
      </c>
    </row>
    <row r="139">
      <c r="A139" s="5" t="inlineStr">
        <is>
          <t>e4a</t>
        </is>
      </c>
      <c r="B139" s="5" t="inlineStr">
        <is>
          <t>e4</t>
        </is>
      </c>
      <c r="C139" s="5" t="inlineStr">
        <is>
          <t>iPhone 15 Pro</t>
        </is>
      </c>
      <c r="D139" s="6" t="n">
        <v>440</v>
      </c>
      <c r="E139" s="6" t="n">
        <v>530</v>
      </c>
      <c r="F139" s="7" t="n"/>
      <c r="G139" s="7" t="n"/>
      <c r="H139" s="5" t="inlineStr">
        <is>
          <t>fair</t>
        </is>
      </c>
      <c r="I139" s="5" t="inlineStr">
        <is>
          <t>2026-09-19</t>
        </is>
      </c>
      <c r="J139" s="5" t="inlineStr">
        <is>
          <t>https://swappa.com/prices/apple-iphone-15-pro</t>
        </is>
      </c>
      <c r="K139" s="5" t="inlineStr">
        <is>
          <t>Storage and battery health</t>
        </is>
      </c>
    </row>
    <row r="140">
      <c r="A140" s="5" t="inlineStr">
        <is>
          <t>e4b</t>
        </is>
      </c>
      <c r="B140" s="5" t="inlineStr">
        <is>
          <t>e4</t>
        </is>
      </c>
      <c r="C140" s="5" t="inlineStr">
        <is>
          <t>iPhone 15 Pro Max</t>
        </is>
      </c>
      <c r="D140" s="6" t="n">
        <v>540</v>
      </c>
      <c r="E140" s="6" t="n">
        <v>640</v>
      </c>
      <c r="F140" s="7" t="n"/>
      <c r="G140" s="7" t="n"/>
      <c r="H140" s="5" t="inlineStr">
        <is>
          <t>fair</t>
        </is>
      </c>
      <c r="I140" s="5" t="inlineStr">
        <is>
          <t>2026-09-19</t>
        </is>
      </c>
      <c r="J140" s="5" t="inlineStr">
        <is>
          <t>https://swappa.com/prices/apple-iphone-15-pro-max</t>
        </is>
      </c>
      <c r="K140" s="5" t="inlineStr">
        <is>
          <t>Storage and battery health</t>
        </is>
      </c>
    </row>
    <row r="141">
      <c r="A141" s="5" t="inlineStr">
        <is>
          <t>e5</t>
        </is>
      </c>
      <c r="B141" s="5" t="inlineStr">
        <is>
          <t>e4</t>
        </is>
      </c>
      <c r="C141" s="5" t="inlineStr">
        <is>
          <t>iPhone 16</t>
        </is>
      </c>
      <c r="D141" s="6" t="n">
        <v>480</v>
      </c>
      <c r="E141" s="6" t="n">
        <v>580</v>
      </c>
      <c r="F141" s="7" t="n"/>
      <c r="G141" s="7" t="n"/>
      <c r="H141" s="5" t="inlineStr">
        <is>
          <t>good</t>
        </is>
      </c>
      <c r="I141" s="5" t="inlineStr">
        <is>
          <t>2026-09-19</t>
        </is>
      </c>
      <c r="J141" s="5" t="inlineStr">
        <is>
          <t>https://swappa.com/prices/apple-iphone-16</t>
        </is>
      </c>
      <c r="K141" s="5" t="inlineStr">
        <is>
          <t>Carrier-locked sells lower</t>
        </is>
      </c>
    </row>
    <row r="142">
      <c r="A142" s="5" t="inlineStr">
        <is>
          <t>e6a</t>
        </is>
      </c>
      <c r="B142" s="5" t="inlineStr">
        <is>
          <t>e4</t>
        </is>
      </c>
      <c r="C142" s="5" t="inlineStr">
        <is>
          <t>iPhone 16 Pro</t>
        </is>
      </c>
      <c r="D142" s="6" t="n">
        <v>600</v>
      </c>
      <c r="E142" s="6" t="n">
        <v>700</v>
      </c>
      <c r="F142" s="7" t="n"/>
      <c r="G142" s="7" t="n"/>
      <c r="H142" s="5" t="inlineStr">
        <is>
          <t>fair</t>
        </is>
      </c>
      <c r="I142" s="5" t="inlineStr">
        <is>
          <t>2026-09-19</t>
        </is>
      </c>
      <c r="J142" s="5" t="inlineStr">
        <is>
          <t>https://swappa.com/prices/apple-iphone-16-pro</t>
        </is>
      </c>
      <c r="K142" s="5" t="inlineStr">
        <is>
          <t>Storage and battery health</t>
        </is>
      </c>
    </row>
    <row r="143">
      <c r="A143" s="5" t="inlineStr">
        <is>
          <t>e6b</t>
        </is>
      </c>
      <c r="B143" s="5" t="inlineStr">
        <is>
          <t>e4</t>
        </is>
      </c>
      <c r="C143" s="5" t="inlineStr">
        <is>
          <t>iPhone 16 Pro Max</t>
        </is>
      </c>
      <c r="D143" s="6" t="n">
        <v>700</v>
      </c>
      <c r="E143" s="6" t="n">
        <v>800</v>
      </c>
      <c r="F143" s="7" t="n"/>
      <c r="G143" s="7" t="n"/>
      <c r="H143" s="5" t="inlineStr">
        <is>
          <t>fair</t>
        </is>
      </c>
      <c r="I143" s="5" t="inlineStr">
        <is>
          <t>2026-09-19</t>
        </is>
      </c>
      <c r="J143" s="5" t="inlineStr">
        <is>
          <t>https://swappa.com/prices/apple-iphone-16-pro-max</t>
        </is>
      </c>
      <c r="K143" s="5" t="inlineStr">
        <is>
          <t>Storage and battery health</t>
        </is>
      </c>
    </row>
    <row r="144">
      <c r="A144" s="5" t="inlineStr">
        <is>
          <t>e7</t>
        </is>
      </c>
      <c r="B144" s="5" t="inlineStr">
        <is>
          <t>e4</t>
        </is>
      </c>
      <c r="C144" s="5" t="inlineStr">
        <is>
          <t>iPhone 17</t>
        </is>
      </c>
      <c r="D144" s="6" t="n">
        <v>660</v>
      </c>
      <c r="E144" s="6" t="n">
        <v>770</v>
      </c>
      <c r="F144" s="7" t="n"/>
      <c r="G144" s="7" t="n"/>
      <c r="H144" s="5" t="inlineStr">
        <is>
          <t>fair</t>
        </is>
      </c>
      <c r="I144" s="5" t="inlineStr">
        <is>
          <t>2026-09-19</t>
        </is>
      </c>
      <c r="J144" s="5" t="inlineStr">
        <is>
          <t>https://swappa.com/prices/apple-iphone-17</t>
        </is>
      </c>
      <c r="K144" s="5" t="inlineStr">
        <is>
          <t>Still the current base model</t>
        </is>
      </c>
    </row>
    <row r="145">
      <c r="A145" s="5" t="inlineStr">
        <is>
          <t>e8</t>
        </is>
      </c>
      <c r="B145" s="5" t="inlineStr">
        <is>
          <t>e4</t>
        </is>
      </c>
      <c r="C145" s="5" t="inlineStr">
        <is>
          <t>Galaxy S23</t>
        </is>
      </c>
      <c r="D145" s="6" t="n">
        <v>210</v>
      </c>
      <c r="E145" s="6" t="n">
        <v>265</v>
      </c>
      <c r="F145" s="7" t="n"/>
      <c r="G145" s="7" t="n"/>
      <c r="H145" s="5" t="inlineStr">
        <is>
          <t>fair</t>
        </is>
      </c>
      <c r="I145" s="5" t="inlineStr">
        <is>
          <t>2026-09-19</t>
        </is>
      </c>
      <c r="J145" s="5" t="inlineStr">
        <is>
          <t>https://swappa.com/prices/samsung-galaxy-s23</t>
        </is>
      </c>
      <c r="K145" s="5" t="inlineStr">
        <is>
          <t>Screen burn-in and carrier lock</t>
        </is>
      </c>
    </row>
    <row r="146">
      <c r="A146" s="5" t="inlineStr">
        <is>
          <t>e9</t>
        </is>
      </c>
      <c r="B146" s="5" t="inlineStr">
        <is>
          <t>e4</t>
        </is>
      </c>
      <c r="C146" s="5" t="inlineStr">
        <is>
          <t>Galaxy S24</t>
        </is>
      </c>
      <c r="D146" s="6" t="n">
        <v>290</v>
      </c>
      <c r="E146" s="6" t="n">
        <v>370</v>
      </c>
      <c r="F146" s="7" t="n"/>
      <c r="G146" s="7" t="n"/>
      <c r="H146" s="5" t="inlineStr">
        <is>
          <t>fair</t>
        </is>
      </c>
      <c r="I146" s="5" t="inlineStr">
        <is>
          <t>2026-09-19</t>
        </is>
      </c>
      <c r="J146" s="5" t="inlineStr">
        <is>
          <t>https://swappa.com/prices/samsung-galaxy-s24</t>
        </is>
      </c>
      <c r="K146" s="5" t="inlineStr">
        <is>
          <t>Unlocked brings noticeably more</t>
        </is>
      </c>
    </row>
    <row r="147">
      <c r="A147" s="5" t="inlineStr">
        <is>
          <t>e10</t>
        </is>
      </c>
      <c r="B147" s="5" t="inlineStr">
        <is>
          <t>e4</t>
        </is>
      </c>
      <c r="C147" s="5" t="inlineStr">
        <is>
          <t>Galaxy S25</t>
        </is>
      </c>
      <c r="D147" s="6" t="n">
        <v>380</v>
      </c>
      <c r="E147" s="6" t="n">
        <v>470</v>
      </c>
      <c r="F147" s="7" t="n"/>
      <c r="G147" s="7" t="n"/>
      <c r="H147" s="5" t="inlineStr">
        <is>
          <t>fair</t>
        </is>
      </c>
      <c r="I147" s="5" t="inlineStr">
        <is>
          <t>2026-09-19</t>
        </is>
      </c>
      <c r="J147" s="5" t="inlineStr">
        <is>
          <t>https://swappa.com/prices/samsung-galaxy-s25</t>
        </is>
      </c>
      <c r="K147" s="5" t="inlineStr">
        <is>
          <t>256GB adds about $80</t>
        </is>
      </c>
    </row>
    <row r="148">
      <c r="A148" s="5" t="inlineStr">
        <is>
          <t>e11</t>
        </is>
      </c>
      <c r="B148" s="5" t="inlineStr">
        <is>
          <t>e3</t>
        </is>
      </c>
      <c r="C148" s="5" t="inlineStr">
        <is>
          <t>iPad 9th gen</t>
        </is>
      </c>
      <c r="D148" s="6" t="n">
        <v>140</v>
      </c>
      <c r="E148" s="6" t="n">
        <v>185</v>
      </c>
      <c r="F148" s="7" t="n"/>
      <c r="G148" s="7" t="n"/>
      <c r="H148" s="5" t="inlineStr">
        <is>
          <t>fair</t>
        </is>
      </c>
      <c r="I148" s="5" t="inlineStr">
        <is>
          <t>2026-09-19</t>
        </is>
      </c>
      <c r="J148" s="5" t="inlineStr">
        <is>
          <t>https://swappa.com/prices/apple-ipad-9th-gen</t>
        </is>
      </c>
      <c r="K148" s="5" t="inlineStr">
        <is>
          <t>Cheap refurbs cap it</t>
        </is>
      </c>
    </row>
    <row r="149">
      <c r="A149" s="5" t="inlineStr">
        <is>
          <t>e12</t>
        </is>
      </c>
      <c r="B149" s="5" t="inlineStr">
        <is>
          <t>e3</t>
        </is>
      </c>
      <c r="C149" s="5" t="inlineStr">
        <is>
          <t>iPad 10th gen</t>
        </is>
      </c>
      <c r="D149" s="6" t="n">
        <v>220</v>
      </c>
      <c r="E149" s="6" t="n">
        <v>300</v>
      </c>
      <c r="F149" s="7" t="n"/>
      <c r="G149" s="7" t="n"/>
      <c r="H149" s="5" t="inlineStr">
        <is>
          <t>fair</t>
        </is>
      </c>
      <c r="I149" s="5" t="inlineStr">
        <is>
          <t>2026-09-19</t>
        </is>
      </c>
      <c r="J149" s="5" t="inlineStr">
        <is>
          <t>https://swappa.com/prices/apple-ipad-10th-gen</t>
        </is>
      </c>
      <c r="K149" s="5" t="inlineStr">
        <is>
          <t>Cheap refurbs drag it down</t>
        </is>
      </c>
    </row>
    <row r="150">
      <c r="A150" s="5" t="inlineStr">
        <is>
          <t>e13</t>
        </is>
      </c>
      <c r="B150" s="5" t="inlineStr">
        <is>
          <t>e5</t>
        </is>
      </c>
      <c r="C150" s="5" t="inlineStr">
        <is>
          <t>PlayStation 5 (disc)</t>
        </is>
      </c>
      <c r="D150" s="6" t="n">
        <v>370</v>
      </c>
      <c r="E150" s="6" t="n">
        <v>460</v>
      </c>
      <c r="F150" s="7" t="n"/>
      <c r="G150" s="7" t="n"/>
      <c r="H150" s="5" t="inlineStr">
        <is>
          <t>good</t>
        </is>
      </c>
      <c r="I150" s="5" t="inlineStr">
        <is>
          <t>2026-09-19</t>
        </is>
      </c>
      <c r="J150" s="5" t="inlineStr">
        <is>
          <t>https://www.pricecharting.com/game/playstation-5/playstation-5-console-disc-version</t>
        </is>
      </c>
      <c r="K150" s="5" t="inlineStr">
        <is>
          <t>Slim about $40 over original</t>
        </is>
      </c>
    </row>
    <row r="151">
      <c r="A151" s="5" t="inlineStr">
        <is>
          <t>e14</t>
        </is>
      </c>
      <c r="B151" s="5" t="inlineStr">
        <is>
          <t>e5</t>
        </is>
      </c>
      <c r="C151" s="5" t="inlineStr">
        <is>
          <t>PlayStation 5 Digital</t>
        </is>
      </c>
      <c r="D151" s="6" t="n">
        <v>320</v>
      </c>
      <c r="E151" s="6" t="n">
        <v>410</v>
      </c>
      <c r="F151" s="7" t="n"/>
      <c r="G151" s="7" t="n"/>
      <c r="H151" s="5" t="inlineStr">
        <is>
          <t>fair</t>
        </is>
      </c>
      <c r="I151" s="5" t="inlineStr">
        <is>
          <t>2026-09-19</t>
        </is>
      </c>
      <c r="J151" s="5" t="inlineStr">
        <is>
          <t>https://www.pricecharting.com/game/playstation-5/playstation-5-slim-digital-edition</t>
        </is>
      </c>
      <c r="K151" s="5" t="inlineStr">
        <is>
          <t>$40–60 under the disc model</t>
        </is>
      </c>
    </row>
    <row r="152">
      <c r="A152" s="5" t="inlineStr">
        <is>
          <t>e15</t>
        </is>
      </c>
      <c r="B152" s="5" t="inlineStr">
        <is>
          <t>e5</t>
        </is>
      </c>
      <c r="C152" s="5" t="inlineStr">
        <is>
          <t>PlayStation 4</t>
        </is>
      </c>
      <c r="D152" s="6" t="n">
        <v>90</v>
      </c>
      <c r="E152" s="6" t="n">
        <v>140</v>
      </c>
      <c r="F152" s="7" t="n"/>
      <c r="G152" s="7" t="n"/>
      <c r="H152" s="5" t="inlineStr">
        <is>
          <t>good</t>
        </is>
      </c>
      <c r="I152" s="5" t="inlineStr">
        <is>
          <t>2026-09-19</t>
        </is>
      </c>
      <c r="J152" s="5" t="inlineStr">
        <is>
          <t>https://www.pricecharting.com/console/playstation-4?genre-name=systems</t>
        </is>
      </c>
      <c r="K152" s="5" t="inlineStr">
        <is>
          <t>PS4 Pro runs $150–200</t>
        </is>
      </c>
    </row>
    <row r="153">
      <c r="A153" s="5" t="inlineStr">
        <is>
          <t>e16</t>
        </is>
      </c>
      <c r="B153" s="5" t="inlineStr">
        <is>
          <t>e5</t>
        </is>
      </c>
      <c r="C153" s="5" t="inlineStr">
        <is>
          <t>Xbox Series X</t>
        </is>
      </c>
      <c r="D153" s="6" t="n">
        <v>420</v>
      </c>
      <c r="E153" s="6" t="n">
        <v>530</v>
      </c>
      <c r="F153" s="7" t="n"/>
      <c r="G153" s="7" t="n"/>
      <c r="H153" s="5" t="inlineStr">
        <is>
          <t>fair</t>
        </is>
      </c>
      <c r="I153" s="5" t="inlineStr">
        <is>
          <t>2026-09-19</t>
        </is>
      </c>
      <c r="J153" s="5" t="inlineStr">
        <is>
          <t>https://www.pricecharting.com/game/xbox-series-x/xbox-series-x-console</t>
        </is>
      </c>
      <c r="K153" s="5" t="inlineStr">
        <is>
          <t>New price hikes pushed used up</t>
        </is>
      </c>
    </row>
    <row r="154">
      <c r="A154" s="5" t="inlineStr">
        <is>
          <t>e17</t>
        </is>
      </c>
      <c r="B154" s="5" t="inlineStr">
        <is>
          <t>e5</t>
        </is>
      </c>
      <c r="C154" s="5" t="inlineStr">
        <is>
          <t>Xbox Series S</t>
        </is>
      </c>
      <c r="D154" s="6" t="n">
        <v>210</v>
      </c>
      <c r="E154" s="6" t="n">
        <v>290</v>
      </c>
      <c r="F154" s="7" t="n"/>
      <c r="G154" s="7" t="n"/>
      <c r="H154" s="5" t="inlineStr">
        <is>
          <t>fair</t>
        </is>
      </c>
      <c r="I154" s="5" t="inlineStr">
        <is>
          <t>2026-09-19</t>
        </is>
      </c>
      <c r="J154" s="5" t="inlineStr">
        <is>
          <t>https://www.pricecharting.com/game/xbox-series-x/xbox-series-s-console</t>
        </is>
      </c>
      <c r="K154" s="5" t="inlineStr">
        <is>
          <t>1TB and boxed sell higher</t>
        </is>
      </c>
    </row>
    <row r="155">
      <c r="A155" s="5" t="inlineStr">
        <is>
          <t>e18</t>
        </is>
      </c>
      <c r="B155" s="5" t="inlineStr">
        <is>
          <t>e5</t>
        </is>
      </c>
      <c r="C155" s="5" t="inlineStr">
        <is>
          <t>Xbox One S / One X</t>
        </is>
      </c>
      <c r="D155" s="6" t="n">
        <v>100</v>
      </c>
      <c r="E155" s="6" t="n">
        <v>170</v>
      </c>
      <c r="F155" s="7" t="n"/>
      <c r="G155" s="7" t="n"/>
      <c r="H155" s="5" t="inlineStr">
        <is>
          <t>fair</t>
        </is>
      </c>
      <c r="I155" s="5" t="inlineStr">
        <is>
          <t>2026-09-19</t>
        </is>
      </c>
      <c r="J155" s="5" t="inlineStr">
        <is>
          <t>https://www.pricecharting.com/console/xbox-one?genre-name=systems</t>
        </is>
      </c>
      <c r="K155" s="5" t="inlineStr">
        <is>
          <t>One X $140–180</t>
        </is>
      </c>
    </row>
    <row r="156">
      <c r="A156" s="5" t="inlineStr">
        <is>
          <t>e19</t>
        </is>
      </c>
      <c r="B156" s="5" t="inlineStr">
        <is>
          <t>e5</t>
        </is>
      </c>
      <c r="C156" s="5" t="inlineStr">
        <is>
          <t>Nintendo Switch OLED</t>
        </is>
      </c>
      <c r="D156" s="6" t="n">
        <v>185</v>
      </c>
      <c r="E156" s="6" t="n">
        <v>240</v>
      </c>
      <c r="F156" s="7" t="n"/>
      <c r="G156" s="7" t="n"/>
      <c r="H156" s="5" t="inlineStr">
        <is>
          <t>good</t>
        </is>
      </c>
      <c r="I156" s="5" t="inlineStr">
        <is>
          <t>2026-09-19</t>
        </is>
      </c>
      <c r="J156" s="5" t="inlineStr">
        <is>
          <t>https://www.pricecharting.com/console/nintendo-switch?genre-name=systems</t>
        </is>
      </c>
      <c r="K156" s="5" t="inlineStr">
        <is>
          <t>Special editions and box add $20–40</t>
        </is>
      </c>
    </row>
    <row r="157">
      <c r="A157" s="5" t="inlineStr">
        <is>
          <t>e20</t>
        </is>
      </c>
      <c r="B157" s="5" t="inlineStr">
        <is>
          <t>e5</t>
        </is>
      </c>
      <c r="C157" s="5" t="inlineStr">
        <is>
          <t>Nintendo Switch</t>
        </is>
      </c>
      <c r="D157" s="6" t="n">
        <v>135</v>
      </c>
      <c r="E157" s="6" t="n">
        <v>180</v>
      </c>
      <c r="F157" s="7" t="n"/>
      <c r="G157" s="7" t="n"/>
      <c r="H157" s="5" t="inlineStr">
        <is>
          <t>good</t>
        </is>
      </c>
      <c r="I157" s="5" t="inlineStr">
        <is>
          <t>2026-09-19</t>
        </is>
      </c>
      <c r="J157" s="5" t="inlineStr">
        <is>
          <t>https://www.pricecharting.com/console/nintendo-switch?genre-name=systems</t>
        </is>
      </c>
      <c r="K157" s="5" t="inlineStr">
        <is>
          <t>Needs dock and Joy-Cons; drift cuts value</t>
        </is>
      </c>
    </row>
    <row r="158">
      <c r="A158" s="5" t="inlineStr">
        <is>
          <t>e21</t>
        </is>
      </c>
      <c r="B158" s="5" t="inlineStr">
        <is>
          <t>e5|Handheld game console</t>
        </is>
      </c>
      <c r="C158" s="5" t="inlineStr">
        <is>
          <t>Nintendo Switch Lite</t>
        </is>
      </c>
      <c r="D158" s="6" t="n">
        <v>95</v>
      </c>
      <c r="E158" s="6" t="n">
        <v>130</v>
      </c>
      <c r="F158" s="7" t="n"/>
      <c r="G158" s="7" t="n"/>
      <c r="H158" s="5" t="inlineStr">
        <is>
          <t>good</t>
        </is>
      </c>
      <c r="I158" s="5" t="inlineStr">
        <is>
          <t>2026-09-19</t>
        </is>
      </c>
      <c r="J158" s="5" t="inlineStr">
        <is>
          <t>https://www.pricecharting.com/console/nintendo-switch?genre-name=systems</t>
        </is>
      </c>
      <c r="K158" s="5" t="inlineStr">
        <is>
          <t>Special editions $140–160</t>
        </is>
      </c>
    </row>
    <row r="159">
      <c r="A159" s="5" t="inlineStr">
        <is>
          <t>e22</t>
        </is>
      </c>
      <c r="B159" s="5" t="inlineStr">
        <is>
          <t>e5</t>
        </is>
      </c>
      <c r="C159" s="5" t="inlineStr">
        <is>
          <t>Nintendo Switch 2</t>
        </is>
      </c>
      <c r="D159" s="6" t="n">
        <v>350</v>
      </c>
      <c r="E159" s="6" t="n">
        <v>415</v>
      </c>
      <c r="F159" s="7" t="n"/>
      <c r="G159" s="7" t="n"/>
      <c r="H159" s="5" t="inlineStr">
        <is>
          <t>good</t>
        </is>
      </c>
      <c r="I159" s="5" t="inlineStr">
        <is>
          <t>2026-09-19</t>
        </is>
      </c>
      <c r="J159" s="5" t="inlineStr">
        <is>
          <t>https://www.pricecharting.com/game/nintendo-switch-2/nintendo-switch-2-console</t>
        </is>
      </c>
      <c r="K159" s="5" t="inlineStr">
        <is>
          <t>Complete with dock and Joy-Cons</t>
        </is>
      </c>
    </row>
    <row r="160">
      <c r="A160" s="5" t="inlineStr">
        <is>
          <t>e23</t>
        </is>
      </c>
      <c r="B160" s="5" t="inlineStr">
        <is>
          <t>Handheld game console</t>
        </is>
      </c>
      <c r="C160" s="5" t="inlineStr">
        <is>
          <t>Steam Deck</t>
        </is>
      </c>
      <c r="D160" s="6" t="n">
        <v>400</v>
      </c>
      <c r="E160" s="6" t="n">
        <v>520</v>
      </c>
      <c r="F160" s="7" t="n"/>
      <c r="G160" s="7" t="n"/>
      <c r="H160" s="5" t="inlineStr">
        <is>
          <t>fair</t>
        </is>
      </c>
      <c r="I160" s="5" t="inlineStr">
        <is>
          <t>2026-09-19</t>
        </is>
      </c>
      <c r="J160" s="5" t="inlineStr">
        <is>
          <t>https://www.pricecharting.com/game/pc-games/steam-deck-256-gb</t>
        </is>
      </c>
      <c r="K160" s="5" t="inlineStr">
        <is>
          <t>512GB and case add</t>
        </is>
      </c>
    </row>
    <row r="161">
      <c r="A161" s="5" t="inlineStr">
        <is>
          <t>e24</t>
        </is>
      </c>
      <c r="B161" s="5" t="inlineStr">
        <is>
          <t>e2</t>
        </is>
      </c>
      <c r="C161" s="5" t="inlineStr">
        <is>
          <t>MacBook Air M1</t>
        </is>
      </c>
      <c r="D161" s="6" t="n">
        <v>320</v>
      </c>
      <c r="E161" s="6" t="n">
        <v>410</v>
      </c>
      <c r="F161" s="7" t="n"/>
      <c r="G161" s="7" t="n"/>
      <c r="H161" s="5" t="inlineStr">
        <is>
          <t>fair</t>
        </is>
      </c>
      <c r="I161" s="5" t="inlineStr">
        <is>
          <t>2026-09-19</t>
        </is>
      </c>
      <c r="J161" s="5" t="inlineStr">
        <is>
          <t>https://swappa.com/prices/macbook-air-2020-13</t>
        </is>
      </c>
      <c r="K161" s="5" t="inlineStr">
        <is>
          <t>Battery cycles; 16GB adds</t>
        </is>
      </c>
    </row>
    <row r="162">
      <c r="A162" s="5" t="inlineStr">
        <is>
          <t>e25</t>
        </is>
      </c>
      <c r="B162" s="5" t="inlineStr">
        <is>
          <t>e2</t>
        </is>
      </c>
      <c r="C162" s="5" t="inlineStr">
        <is>
          <t>MacBook Air M2</t>
        </is>
      </c>
      <c r="D162" s="6" t="n">
        <v>540</v>
      </c>
      <c r="E162" s="6" t="n">
        <v>660</v>
      </c>
      <c r="F162" s="7" t="n"/>
      <c r="G162" s="7" t="n"/>
      <c r="H162" s="5" t="inlineStr">
        <is>
          <t>fair</t>
        </is>
      </c>
      <c r="I162" s="5" t="inlineStr">
        <is>
          <t>2026-09-19</t>
        </is>
      </c>
      <c r="J162" s="5" t="inlineStr">
        <is>
          <t>https://swappa.com/prices/macbook-air-2022-13</t>
        </is>
      </c>
      <c r="K162" s="5" t="inlineStr">
        <is>
          <t>512GB or 16GB adds about $100</t>
        </is>
      </c>
    </row>
    <row r="163">
      <c r="A163" s="5" t="inlineStr">
        <is>
          <t>e26</t>
        </is>
      </c>
      <c r="B163" s="5" t="inlineStr">
        <is>
          <t>GoPro / action camera</t>
        </is>
      </c>
      <c r="C163" s="5" t="inlineStr">
        <is>
          <t>GoPro Hero 11 / 12</t>
        </is>
      </c>
      <c r="D163" s="6" t="n">
        <v>180</v>
      </c>
      <c r="E163" s="6" t="n">
        <v>270</v>
      </c>
      <c r="F163" s="7" t="n"/>
      <c r="G163" s="7" t="n"/>
      <c r="H163" s="5" t="inlineStr">
        <is>
          <t>fair</t>
        </is>
      </c>
      <c r="I163" s="5" t="inlineStr">
        <is>
          <t>2026-09-19</t>
        </is>
      </c>
      <c r="J163" s="5" t="inlineStr">
        <is>
          <t>https://swappa.com/prices/gopro-hero12</t>
        </is>
      </c>
      <c r="K163" s="5" t="inlineStr">
        <is>
          <t>Extra batteries add</t>
        </is>
      </c>
    </row>
    <row r="164">
      <c r="A164" s="5" t="inlineStr">
        <is>
          <t>e27a</t>
        </is>
      </c>
      <c r="B164" s="5" t="inlineStr">
        <is>
          <t>Camera drone</t>
        </is>
      </c>
      <c r="C164" s="5" t="inlineStr">
        <is>
          <t>DJI Mini 3</t>
        </is>
      </c>
      <c r="D164" s="6" t="n">
        <v>330</v>
      </c>
      <c r="E164" s="6" t="n">
        <v>420</v>
      </c>
      <c r="F164" s="7" t="n"/>
      <c r="G164" s="7" t="n"/>
      <c r="H164" s="5" t="inlineStr">
        <is>
          <t>thin</t>
        </is>
      </c>
      <c r="I164" s="5" t="inlineStr">
        <is>
          <t>2026-09-19</t>
        </is>
      </c>
      <c r="J164" s="5" t="inlineStr">
        <is>
          <t>https://swappa.com/drones/price/dji-mini-3</t>
        </is>
      </c>
      <c r="K164" s="5" t="inlineStr">
        <is>
          <t>Fly More combo adds</t>
        </is>
      </c>
    </row>
    <row r="165">
      <c r="A165" s="5" t="inlineStr">
        <is>
          <t>e27b</t>
        </is>
      </c>
      <c r="B165" s="5" t="inlineStr">
        <is>
          <t>Camera drone</t>
        </is>
      </c>
      <c r="C165" s="5" t="inlineStr">
        <is>
          <t>DJI Mini 4 Pro</t>
        </is>
      </c>
      <c r="D165" s="6" t="n">
        <v>690</v>
      </c>
      <c r="E165" s="6" t="n">
        <v>850</v>
      </c>
      <c r="F165" s="7" t="n"/>
      <c r="G165" s="7" t="n"/>
      <c r="H165" s="5" t="inlineStr">
        <is>
          <t>thin</t>
        </is>
      </c>
      <c r="I165" s="5" t="inlineStr">
        <is>
          <t>2026-09-19</t>
        </is>
      </c>
      <c r="J165" s="5" t="inlineStr">
        <is>
          <t>https://swappa.com/drones/price/dji-mini-4-pro</t>
        </is>
      </c>
      <c r="K165" s="5" t="inlineStr">
        <is>
          <t>Fly More combo adds</t>
        </is>
      </c>
    </row>
    <row r="166">
      <c r="A166" s="5" t="inlineStr">
        <is>
          <t>e28</t>
        </is>
      </c>
      <c r="B166" s="5" t="inlineStr">
        <is>
          <t>VR headset</t>
        </is>
      </c>
      <c r="C166" s="5" t="inlineStr">
        <is>
          <t>Meta Quest 3</t>
        </is>
      </c>
      <c r="D166" s="6" t="n">
        <v>320</v>
      </c>
      <c r="E166" s="6" t="n">
        <v>420</v>
      </c>
      <c r="F166" s="7" t="n"/>
      <c r="G166" s="7" t="n"/>
      <c r="H166" s="5" t="inlineStr">
        <is>
          <t>fair</t>
        </is>
      </c>
      <c r="I166" s="5" t="inlineStr">
        <is>
          <t>2026-09-19</t>
        </is>
      </c>
      <c r="J166" s="5" t="inlineStr">
        <is>
          <t>https://swappa.com/prices/meta-quest-3</t>
        </is>
      </c>
      <c r="K166" s="5" t="inlineStr">
        <is>
          <t>New price went up in 2026</t>
        </is>
      </c>
    </row>
    <row r="167">
      <c r="A167" s="5" t="inlineStr">
        <is>
          <t>e29</t>
        </is>
      </c>
      <c r="B167" s="5" t="inlineStr">
        <is>
          <t>Smart watch</t>
        </is>
      </c>
      <c r="C167" s="5" t="inlineStr">
        <is>
          <t>Apple Watch Series 8 / 9</t>
        </is>
      </c>
      <c r="D167" s="6" t="n">
        <v>120</v>
      </c>
      <c r="E167" s="6" t="n">
        <v>190</v>
      </c>
      <c r="F167" s="7" t="n"/>
      <c r="G167" s="7" t="n"/>
      <c r="H167" s="5" t="inlineStr">
        <is>
          <t>fair</t>
        </is>
      </c>
      <c r="I167" s="5" t="inlineStr">
        <is>
          <t>2026-09-19</t>
        </is>
      </c>
      <c r="J167" s="5" t="inlineStr">
        <is>
          <t>https://swappa.com/prices/apple-watch-series-9-45mm</t>
        </is>
      </c>
      <c r="K167" s="5" t="inlineStr">
        <is>
          <t>Battery health; 45mm adds</t>
        </is>
      </c>
    </row>
    <row r="168">
      <c r="A168" s="5" t="inlineStr">
        <is>
          <t>f1</t>
        </is>
      </c>
      <c r="B168" s="5" t="inlineStr">
        <is>
          <t>r2</t>
        </is>
      </c>
      <c r="C168" s="5" t="inlineStr">
        <is>
          <t>Honda Rancher 420</t>
        </is>
      </c>
      <c r="D168" s="6" t="n">
        <v>3800</v>
      </c>
      <c r="E168" s="6" t="n">
        <v>5400</v>
      </c>
      <c r="F168" s="7" t="n"/>
      <c r="G168" s="7" t="n"/>
      <c r="H168" s="5" t="inlineStr">
        <is>
          <t>fair</t>
        </is>
      </c>
      <c r="I168" s="5" t="inlineStr">
        <is>
          <t>2026-09-19</t>
        </is>
      </c>
      <c r="J168" s="5" t="inlineStr">
        <is>
          <t>https://www.jdpower.com/motorcycles/2020/honda/trx420fm1-ft-rnchr-4x4-420cc/values</t>
        </is>
      </c>
      <c r="K168" s="5" t="inlineStr">
        <is>
          <t>Newer years and EPS/DCT trims on top</t>
        </is>
      </c>
    </row>
    <row r="169">
      <c r="A169" s="5" t="inlineStr">
        <is>
          <t>f2</t>
        </is>
      </c>
      <c r="B169" s="5" t="inlineStr">
        <is>
          <t>r2</t>
        </is>
      </c>
      <c r="C169" s="5" t="inlineStr">
        <is>
          <t>Honda Foreman 520</t>
        </is>
      </c>
      <c r="D169" s="6" t="n">
        <v>4200</v>
      </c>
      <c r="E169" s="6" t="n">
        <v>5900</v>
      </c>
      <c r="F169" s="7" t="n"/>
      <c r="G169" s="7" t="n"/>
      <c r="H169" s="5" t="inlineStr">
        <is>
          <t>fair</t>
        </is>
      </c>
      <c r="I169" s="5" t="inlineStr">
        <is>
          <t>2026-09-19</t>
        </is>
      </c>
      <c r="J169" s="5" t="inlineStr">
        <is>
          <t>https://www.jdpower.com/motorcycles/2020/honda/trx520fm1-ft-frmn-4x4-518cc/values</t>
        </is>
      </c>
      <c r="K169" s="5" t="inlineStr">
        <is>
          <t>EPS and low hours add</t>
        </is>
      </c>
    </row>
    <row r="170">
      <c r="A170" s="5" t="inlineStr">
        <is>
          <t>f3</t>
        </is>
      </c>
      <c r="B170" s="5" t="inlineStr">
        <is>
          <t>r2</t>
        </is>
      </c>
      <c r="C170" s="5" t="inlineStr">
        <is>
          <t>Polaris Sportsman 570</t>
        </is>
      </c>
      <c r="D170" s="6" t="n">
        <v>3600</v>
      </c>
      <c r="E170" s="6" t="n">
        <v>5200</v>
      </c>
      <c r="F170" s="7" t="n"/>
      <c r="G170" s="7" t="n"/>
      <c r="H170" s="5" t="inlineStr">
        <is>
          <t>fair</t>
        </is>
      </c>
      <c r="I170" s="5" t="inlineStr">
        <is>
          <t>2026-09-19</t>
        </is>
      </c>
      <c r="J170" s="5" t="inlineStr">
        <is>
          <t>https://www.jdpower.com/motorcycles/2020/polaris/sportsman-570-567cc/values</t>
        </is>
      </c>
      <c r="K170" s="5" t="inlineStr">
        <is>
          <t>EPS and Premium trims add</t>
        </is>
      </c>
    </row>
    <row r="171">
      <c r="A171" s="5" t="inlineStr">
        <is>
          <t>f4</t>
        </is>
      </c>
      <c r="B171" s="5" t="inlineStr">
        <is>
          <t>r2</t>
        </is>
      </c>
      <c r="C171" s="5" t="inlineStr">
        <is>
          <t>Can-Am Outlander 570</t>
        </is>
      </c>
      <c r="D171" s="6" t="n">
        <v>3800</v>
      </c>
      <c r="E171" s="6" t="n">
        <v>5500</v>
      </c>
      <c r="F171" s="7" t="n"/>
      <c r="G171" s="7" t="n"/>
      <c r="H171" s="5" t="inlineStr">
        <is>
          <t>fair</t>
        </is>
      </c>
      <c r="I171" s="5" t="inlineStr">
        <is>
          <t>2026-09-19</t>
        </is>
      </c>
      <c r="J171" s="5" t="inlineStr">
        <is>
          <t>https://www.jdpower.com/motorcycles/2020/can-am/outlander-570-570cc/values</t>
        </is>
      </c>
      <c r="K171" s="5" t="inlineStr">
        <is>
          <t>DPS and XT trims add $700–1,500</t>
        </is>
      </c>
    </row>
    <row r="172">
      <c r="A172" s="5" t="inlineStr">
        <is>
          <t>f5</t>
        </is>
      </c>
      <c r="B172" s="5" t="inlineStr">
        <is>
          <t>r2</t>
        </is>
      </c>
      <c r="C172" s="5" t="inlineStr">
        <is>
          <t>Yamaha Grizzly 700</t>
        </is>
      </c>
      <c r="D172" s="6" t="n">
        <v>5400</v>
      </c>
      <c r="E172" s="6" t="n">
        <v>7400</v>
      </c>
      <c r="F172" s="7" t="n"/>
      <c r="G172" s="7" t="n"/>
      <c r="H172" s="5" t="inlineStr">
        <is>
          <t>fair</t>
        </is>
      </c>
      <c r="I172" s="5" t="inlineStr">
        <is>
          <t>2026-09-19</t>
        </is>
      </c>
      <c r="J172" s="5" t="inlineStr">
        <is>
          <t>https://www.jdpower.com/motorcycles/2020/yamaha/grizzly-eps-4wd-686cc/values</t>
        </is>
      </c>
      <c r="K172" s="5" t="inlineStr">
        <is>
          <t>SE trims and low hours add</t>
        </is>
      </c>
    </row>
    <row r="173">
      <c r="A173" s="5" t="inlineStr">
        <is>
          <t>f6</t>
        </is>
      </c>
      <c r="B173" s="5" t="inlineStr">
        <is>
          <t>r2</t>
        </is>
      </c>
      <c r="C173" s="5" t="inlineStr">
        <is>
          <t>Kawasaki Brute Force 750</t>
        </is>
      </c>
      <c r="D173" s="6" t="n">
        <v>4900</v>
      </c>
      <c r="E173" s="6" t="n">
        <v>6900</v>
      </c>
      <c r="F173" s="7" t="n"/>
      <c r="G173" s="7" t="n"/>
      <c r="H173" s="5" t="inlineStr">
        <is>
          <t>fair</t>
        </is>
      </c>
      <c r="I173" s="5" t="inlineStr">
        <is>
          <t>2026-09-19</t>
        </is>
      </c>
      <c r="J173" s="5" t="inlineStr">
        <is>
          <t>https://www.jdpower.com/motorcycles/2020/kawasaki/kvf750glf-bruteforce-4x4i-749cc/values</t>
        </is>
      </c>
      <c r="K173" s="5" t="inlineStr">
        <is>
          <t>EPS adds about $800</t>
        </is>
      </c>
    </row>
    <row r="174">
      <c r="A174" s="5" t="inlineStr">
        <is>
          <t>f7a</t>
        </is>
      </c>
      <c r="B174" s="5" t="inlineStr">
        <is>
          <t>UTV / side-by-side</t>
        </is>
      </c>
      <c r="C174" s="5" t="inlineStr">
        <is>
          <t>Polaris Ranger 570</t>
        </is>
      </c>
      <c r="D174" s="6" t="n">
        <v>5800</v>
      </c>
      <c r="E174" s="6" t="n">
        <v>8000</v>
      </c>
      <c r="F174" s="7" t="n"/>
      <c r="G174" s="7" t="n"/>
      <c r="H174" s="5" t="inlineStr">
        <is>
          <t>fair</t>
        </is>
      </c>
      <c r="I174" s="5" t="inlineStr">
        <is>
          <t>2026-09-19</t>
        </is>
      </c>
      <c r="J174" s="5" t="inlineStr">
        <is>
          <t>https://www.jdpower.com/motorcycles/2020/polaris/ranger-570-567cc/values</t>
        </is>
      </c>
      <c r="K174" s="5" t="inlineStr">
        <is>
          <t>Full-size and EPS add</t>
        </is>
      </c>
    </row>
    <row r="175">
      <c r="A175" s="5" t="inlineStr">
        <is>
          <t>f7b</t>
        </is>
      </c>
      <c r="B175" s="5" t="inlineStr">
        <is>
          <t>UTV / side-by-side</t>
        </is>
      </c>
      <c r="C175" s="5" t="inlineStr">
        <is>
          <t>Polaris Ranger 1000</t>
        </is>
      </c>
      <c r="D175" s="6" t="n">
        <v>8300</v>
      </c>
      <c r="E175" s="6" t="n">
        <v>10500</v>
      </c>
      <c r="F175" s="7" t="n"/>
      <c r="G175" s="7" t="n"/>
      <c r="H175" s="5" t="inlineStr">
        <is>
          <t>thin</t>
        </is>
      </c>
      <c r="I175" s="5" t="inlineStr">
        <is>
          <t>2026-09-19</t>
        </is>
      </c>
      <c r="J175" s="5" t="inlineStr">
        <is>
          <t>https://www.jdpower.com/motorcycles/2020/polaris/ranger-1000-eps-999cc/values</t>
        </is>
      </c>
      <c r="K175" s="5" t="inlineStr">
        <is>
          <t>Crew and Premium trims add</t>
        </is>
      </c>
    </row>
    <row r="176">
      <c r="A176" s="5" t="inlineStr">
        <is>
          <t>f8</t>
        </is>
      </c>
      <c r="B176" s="5" t="inlineStr">
        <is>
          <t>UTV / side-by-side</t>
        </is>
      </c>
      <c r="C176" s="5" t="inlineStr">
        <is>
          <t>Polaris RZR 900 / XP 1000</t>
        </is>
      </c>
      <c r="D176" s="6" t="n">
        <v>7500</v>
      </c>
      <c r="E176" s="6" t="n">
        <v>11500</v>
      </c>
      <c r="F176" s="7" t="n"/>
      <c r="G176" s="7" t="n"/>
      <c r="H176" s="5" t="inlineStr">
        <is>
          <t>thin</t>
        </is>
      </c>
      <c r="I176" s="5" t="inlineStr">
        <is>
          <t>2026-09-19</t>
        </is>
      </c>
      <c r="J176" s="5" t="inlineStr">
        <is>
          <t>https://www.jdpower.com/motorcycles/2020/polaris/rzr-900-eps-875cc/values</t>
        </is>
      </c>
      <c r="K176" s="5" t="inlineStr">
        <is>
          <t>RZR 900 low end, XP 1000 top</t>
        </is>
      </c>
    </row>
    <row r="177">
      <c r="A177" s="5" t="inlineStr">
        <is>
          <t>f9</t>
        </is>
      </c>
      <c r="B177" s="5" t="inlineStr">
        <is>
          <t>UTV / side-by-side</t>
        </is>
      </c>
      <c r="C177" s="5" t="inlineStr">
        <is>
          <t>Kawasaki Mule</t>
        </is>
      </c>
      <c r="D177" s="6" t="n">
        <v>4300</v>
      </c>
      <c r="E177" s="6" t="n">
        <v>7000</v>
      </c>
      <c r="F177" s="7" t="n"/>
      <c r="G177" s="7" t="n"/>
      <c r="H177" s="5" t="inlineStr">
        <is>
          <t>fair</t>
        </is>
      </c>
      <c r="I177" s="5" t="inlineStr">
        <is>
          <t>2026-09-19</t>
        </is>
      </c>
      <c r="J177" s="5" t="inlineStr">
        <is>
          <t>https://www.jdpower.com/motorcycles/2020/kawasaki/kaf620mlf-mule-4010-4x4-617cc/values</t>
        </is>
      </c>
      <c r="K177" s="5" t="inlineStr">
        <is>
          <t>Mule SX low end; 4010 4x4 top</t>
        </is>
      </c>
    </row>
    <row r="178">
      <c r="A178" s="5" t="inlineStr">
        <is>
          <t>f10</t>
        </is>
      </c>
      <c r="B178" s="5" t="inlineStr">
        <is>
          <t>UTV / side-by-side</t>
        </is>
      </c>
      <c r="C178" s="5" t="inlineStr">
        <is>
          <t>John Deere Gator XUV</t>
        </is>
      </c>
      <c r="D178" s="6" t="n">
        <v>8500</v>
      </c>
      <c r="E178" s="6" t="n">
        <v>13500</v>
      </c>
      <c r="F178" s="7" t="n"/>
      <c r="G178" s="7" t="n"/>
      <c r="H178" s="5" t="inlineStr">
        <is>
          <t>thin</t>
        </is>
      </c>
      <c r="I178" s="5" t="inlineStr">
        <is>
          <t>2026-09-19</t>
        </is>
      </c>
      <c r="J178" s="5" t="inlineStr">
        <is>
          <t>https://www.machinerypete.com/other/atvs-and-utility-vehicles/john-deere/xuv590m</t>
        </is>
      </c>
      <c r="K178" s="5" t="inlineStr">
        <is>
          <t>835 and cab push the top</t>
        </is>
      </c>
    </row>
    <row r="179">
      <c r="A179" s="5" t="inlineStr">
        <is>
          <t>f11</t>
        </is>
      </c>
      <c r="B179" s="5" t="inlineStr">
        <is>
          <t>Golf cart</t>
        </is>
      </c>
      <c r="C179" s="5" t="inlineStr">
        <is>
          <t>Club Car Precedent</t>
        </is>
      </c>
      <c r="D179" s="6" t="n">
        <v>3800</v>
      </c>
      <c r="E179" s="6" t="n">
        <v>5800</v>
      </c>
      <c r="F179" s="7" t="n"/>
      <c r="G179" s="7" t="n"/>
      <c r="H179" s="5" t="inlineStr">
        <is>
          <t>fair</t>
        </is>
      </c>
      <c r="I179" s="5" t="inlineStr">
        <is>
          <t>2026-09-19</t>
        </is>
      </c>
      <c r="J179" s="5" t="inlineStr">
        <is>
          <t>https://golfcartsearch.com/golf-cart-value-calculator/club-car/precedent</t>
        </is>
      </c>
      <c r="K179" s="5" t="inlineStr">
        <is>
          <t>Lithium or new batteries add $1,500+</t>
        </is>
      </c>
    </row>
    <row r="180">
      <c r="A180" s="5" t="inlineStr">
        <is>
          <t>f12</t>
        </is>
      </c>
      <c r="B180" s="5" t="inlineStr">
        <is>
          <t>Golf cart</t>
        </is>
      </c>
      <c r="C180" s="5" t="inlineStr">
        <is>
          <t>EZGO TXT</t>
        </is>
      </c>
      <c r="D180" s="6" t="n">
        <v>3300</v>
      </c>
      <c r="E180" s="6" t="n">
        <v>5000</v>
      </c>
      <c r="F180" s="7" t="n"/>
      <c r="G180" s="7" t="n"/>
      <c r="H180" s="5" t="inlineStr">
        <is>
          <t>fair</t>
        </is>
      </c>
      <c r="I180" s="5" t="inlineStr">
        <is>
          <t>2026-09-19</t>
        </is>
      </c>
      <c r="J180" s="5" t="inlineStr">
        <is>
          <t>https://golfcartsearch.com/golf-cart-value-calculator/ezgo/txt</t>
        </is>
      </c>
      <c r="K180" s="5" t="inlineStr">
        <is>
          <t>Battery age, lift and seats</t>
        </is>
      </c>
    </row>
    <row r="181">
      <c r="A181" s="5" t="inlineStr">
        <is>
          <t>f13</t>
        </is>
      </c>
      <c r="B181" s="5" t="inlineStr">
        <is>
          <t>Golf cart</t>
        </is>
      </c>
      <c r="C181" s="5" t="inlineStr">
        <is>
          <t>Yamaha Drive2</t>
        </is>
      </c>
      <c r="D181" s="6" t="n">
        <v>4500</v>
      </c>
      <c r="E181" s="6" t="n">
        <v>6800</v>
      </c>
      <c r="F181" s="7" t="n"/>
      <c r="G181" s="7" t="n"/>
      <c r="H181" s="5" t="inlineStr">
        <is>
          <t>fair</t>
        </is>
      </c>
      <c r="I181" s="5" t="inlineStr">
        <is>
          <t>2026-09-19</t>
        </is>
      </c>
      <c r="J181" s="5" t="inlineStr">
        <is>
          <t>https://golfcartsearch.com/golf-cart-value-calculator/yamaha/drive</t>
        </is>
      </c>
      <c r="K181" s="5" t="inlineStr">
        <is>
          <t>Gas QuieTech and lithium bring more</t>
        </is>
      </c>
    </row>
    <row r="183">
      <c r="C183" s="2" t="inlineStr">
        <is>
          <t>Model rows</t>
        </is>
      </c>
      <c r="D183" s="2">
        <f>COUNTA(C3:C181)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2026-09-21T14:16:39Z</dcterms:created>
  <dcterms:modified xmlns:dcterms="http://purl.org/dc/terms/" xmlns:xsi="http://www.w3.org/2001/XMLSchema-instance" xsi:type="dcterms:W3CDTF">2026-09-21T14:16:39Z</dcterms:modified>
</cp:coreProperties>
</file>